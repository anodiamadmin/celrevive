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7F2EC3B1-8DCA-42F6-9687-7C88CD01700A}"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0" l="1" a="1"/>
  <c r="F14" i="10" s="1"/>
  <c r="F15" i="10" s="1"/>
  <c r="F4" i="10" a="1"/>
  <c r="F4" i="10" s="1"/>
  <c r="F5" i="10" a="1"/>
  <c r="F5" i="10" s="1"/>
  <c r="F6" i="10" a="1"/>
  <c r="F6" i="10" s="1"/>
  <c r="F7" i="10" a="1"/>
  <c r="F7" i="10" s="1"/>
  <c r="F8" i="10" a="1"/>
  <c r="F8" i="10" s="1"/>
  <c r="F9" i="10" a="1"/>
  <c r="F9" i="10" s="1"/>
  <c r="F10" i="10" a="1"/>
  <c r="F10" i="10" s="1"/>
  <c r="F11" i="10" a="1"/>
  <c r="F11" i="10" s="1"/>
  <c r="F12" i="10" a="1"/>
  <c r="F12" i="10" s="1"/>
  <c r="F13" i="10" a="1"/>
  <c r="F13" i="10" s="1"/>
  <c r="F3" i="10" a="1"/>
  <c r="F3" i="10" s="1"/>
  <c r="F12" i="8" a="1"/>
  <c r="F12" i="8" s="1"/>
  <c r="F3" i="8" a="1"/>
  <c r="F3" i="8" s="1"/>
  <c r="C3" i="5"/>
  <c r="D3" i="5" s="1"/>
  <c r="D2" i="9" l="1"/>
  <c r="D3" i="9"/>
  <c r="D4" i="9"/>
  <c r="D5" i="9"/>
  <c r="D6" i="9"/>
  <c r="D7" i="9"/>
  <c r="D8" i="9"/>
  <c r="D9" i="9"/>
  <c r="C10" i="9"/>
  <c r="D10" i="9"/>
  <c r="C9" i="9"/>
  <c r="C7" i="9"/>
  <c r="C6" i="9"/>
  <c r="C5" i="9"/>
  <c r="C4" i="9"/>
  <c r="C3" i="9"/>
  <c r="C8" i="9"/>
  <c r="E3" i="5"/>
  <c r="F3" i="5" s="1"/>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<sst xmlns="http://schemas.openxmlformats.org/spreadsheetml/2006/main" count="319" uniqueCount="268">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</sst>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0" fillId="0" borderId="0" xfId="0" applyAlignment="1">
      <alignment vertical="top"/>
    </xf>
    <xf numFmtId="0" fontId="0" fillId="0" borderId="5" xfId="0" applyBorder="1" applyAlignment="1">
      <alignment vertical="top"/>
    </xf>
    <xf numFmtId="0" fontId="1" fillId="4" borderId="0" xfId="0" applyFont="1" applyFill="1" applyAlignment="1">
      <alignment horizontal="center"/>
    </xf>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0" borderId="0" xfId="0" applyFont="1" applyAlignment="1">
      <alignment vertical="center" wrapText="1"/>
    </xf>
    <xf numFmtId="2" fontId="1" fillId="0" borderId="0" xfId="0" applyNumberFormat="1" applyFont="1" applyAlignment="1">
      <alignment vertical="top" wrapText="1"/>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3" activePane="bottomLeft" state="frozen"/>
      <selection pane="bottomLeft" activeCell="F3" sqref="F3"/>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7" t="s">
        <v>6</v>
      </c>
      <c r="C1" s="47"/>
      <c r="D1" s="47"/>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zoomScale="95" workbookViewId="0">
      <selection activeCell="D15" sqref="D15"/>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54</v>
      </c>
      <c r="F2" s="10" t="s">
        <v>7</v>
      </c>
      <c r="G2" s="10" t="s">
        <v>4</v>
      </c>
      <c r="H2" s="10" t="s">
        <v>29</v>
      </c>
      <c r="I2" s="10" t="s">
        <v>3</v>
      </c>
      <c r="J2" s="10" t="s">
        <v>2</v>
      </c>
    </row>
    <row r="3" spans="1:10">
      <c r="A3" s="50">
        <v>1</v>
      </c>
      <c r="B3" s="51">
        <v>1</v>
      </c>
      <c r="C3" s="51">
        <v>1.1000000000000001</v>
      </c>
      <c r="D3" s="7" t="s">
        <v>60</v>
      </c>
      <c r="E3" s="48" t="s">
        <v>19</v>
      </c>
      <c r="F3" s="48" cm="1">
        <f t="array" ref="F3">_xlfn.SWITCH(E3,"XS",1,"S",2,"M",3,"L",5,"XL",8,"XXL",13,"XXXL",21,"")</f>
        <v>3</v>
      </c>
    </row>
    <row r="4" spans="1:10">
      <c r="A4" s="50"/>
      <c r="B4" s="51"/>
      <c r="C4" s="51"/>
      <c r="D4" s="7" t="s">
        <v>61</v>
      </c>
      <c r="E4" s="48"/>
      <c r="F4" s="48"/>
    </row>
    <row r="5" spans="1:10">
      <c r="A5" s="50"/>
      <c r="B5" s="51"/>
      <c r="C5" s="51"/>
      <c r="D5" s="7" t="s">
        <v>30</v>
      </c>
      <c r="E5" s="48"/>
      <c r="F5" s="48"/>
    </row>
    <row r="6" spans="1:10">
      <c r="A6" s="50"/>
      <c r="B6" s="51"/>
      <c r="C6" s="51"/>
      <c r="D6" s="7" t="s">
        <v>31</v>
      </c>
      <c r="E6" s="48"/>
      <c r="F6" s="48"/>
    </row>
    <row r="7" spans="1:10">
      <c r="A7" s="50"/>
      <c r="B7" s="51"/>
      <c r="C7" s="51"/>
      <c r="D7" s="7" t="s">
        <v>62</v>
      </c>
      <c r="E7" s="48"/>
      <c r="F7" s="48"/>
    </row>
    <row r="8" spans="1:10">
      <c r="A8" s="50"/>
      <c r="B8" s="51"/>
      <c r="C8" s="51"/>
      <c r="D8" s="7" t="s">
        <v>63</v>
      </c>
      <c r="E8" s="48"/>
      <c r="F8" s="48"/>
    </row>
    <row r="9" spans="1:10">
      <c r="A9" s="50"/>
      <c r="B9" s="51"/>
      <c r="C9" s="51"/>
      <c r="D9" s="7" t="s">
        <v>64</v>
      </c>
      <c r="E9" s="48"/>
      <c r="F9" s="48"/>
    </row>
    <row r="10" spans="1:10">
      <c r="A10" s="50"/>
      <c r="B10" s="51"/>
      <c r="C10" s="51"/>
      <c r="D10" s="7" t="s">
        <v>65</v>
      </c>
      <c r="E10" s="48"/>
      <c r="F10" s="48"/>
    </row>
    <row r="11" spans="1:10">
      <c r="A11" s="50"/>
      <c r="B11" s="51"/>
      <c r="C11" s="51"/>
      <c r="D11" s="7" t="s">
        <v>66</v>
      </c>
      <c r="E11" s="48"/>
      <c r="F11" s="48"/>
    </row>
    <row r="12" spans="1:10">
      <c r="A12" s="50"/>
      <c r="B12" s="51"/>
      <c r="C12" s="51">
        <v>1.2</v>
      </c>
      <c r="D12" s="7" t="s">
        <v>67</v>
      </c>
      <c r="E12" s="48" t="s">
        <v>19</v>
      </c>
      <c r="F12" s="48" cm="1">
        <f t="array" ref="F12">_xlfn.SWITCH(E3,"XS",1,"S",2,"M",3,"L",5,"XL",8,"XXL",13,"XXXL",21,"")</f>
        <v>3</v>
      </c>
    </row>
    <row r="13" spans="1:10">
      <c r="A13" s="50"/>
      <c r="B13" s="51"/>
      <c r="C13" s="51"/>
      <c r="D13" s="7" t="s">
        <v>68</v>
      </c>
      <c r="E13" s="48"/>
      <c r="F13" s="48"/>
    </row>
    <row r="14" spans="1:10">
      <c r="A14" s="50"/>
      <c r="B14" s="51"/>
      <c r="C14" s="51"/>
      <c r="D14" s="7" t="s">
        <v>69</v>
      </c>
      <c r="E14" s="48"/>
      <c r="F14" s="48"/>
    </row>
    <row r="15" spans="1:10">
      <c r="A15" s="50"/>
      <c r="B15" s="51"/>
      <c r="C15" s="51">
        <v>1.3</v>
      </c>
      <c r="D15" s="7" t="s">
        <v>70</v>
      </c>
      <c r="E15" s="48" t="s">
        <v>17</v>
      </c>
      <c r="F15" s="48"/>
    </row>
    <row r="16" spans="1:10">
      <c r="A16" s="50"/>
      <c r="B16" s="51"/>
      <c r="C16" s="51"/>
      <c r="D16" s="7" t="s">
        <v>71</v>
      </c>
      <c r="E16" s="48"/>
      <c r="F16" s="48"/>
    </row>
    <row r="17" spans="1:7">
      <c r="A17" s="50"/>
      <c r="B17" s="51"/>
      <c r="C17" s="51"/>
      <c r="D17" s="7" t="s">
        <v>72</v>
      </c>
      <c r="E17" s="48"/>
      <c r="F17" s="48"/>
    </row>
    <row r="18" spans="1:7">
      <c r="A18" s="50"/>
      <c r="B18" s="51"/>
      <c r="C18" s="51">
        <v>1.4</v>
      </c>
      <c r="D18" s="7" t="s">
        <v>73</v>
      </c>
      <c r="E18" s="48" t="s">
        <v>20</v>
      </c>
      <c r="F18" s="48"/>
    </row>
    <row r="19" spans="1:7">
      <c r="A19" s="50"/>
      <c r="B19" s="51"/>
      <c r="C19" s="51"/>
      <c r="D19" s="7" t="s">
        <v>74</v>
      </c>
      <c r="E19" s="48"/>
      <c r="F19" s="48"/>
    </row>
    <row r="20" spans="1:7">
      <c r="A20" s="50"/>
      <c r="B20" s="51"/>
      <c r="C20" s="51"/>
      <c r="D20" s="7" t="s">
        <v>75</v>
      </c>
      <c r="E20" s="48"/>
      <c r="F20" s="48"/>
    </row>
    <row r="21" spans="1:7">
      <c r="A21" s="50"/>
      <c r="B21" s="51"/>
      <c r="C21" s="51"/>
      <c r="D21" s="7" t="s">
        <v>76</v>
      </c>
      <c r="E21" s="48"/>
      <c r="F21" s="48"/>
    </row>
    <row r="22" spans="1:7">
      <c r="A22" s="50"/>
      <c r="B22" s="51"/>
      <c r="C22" s="51"/>
      <c r="D22" s="7" t="s">
        <v>77</v>
      </c>
      <c r="E22" s="48"/>
      <c r="F22" s="48"/>
    </row>
    <row r="23" spans="1:7">
      <c r="A23" s="50"/>
      <c r="B23" s="51"/>
      <c r="C23" s="51"/>
      <c r="D23" s="7" t="s">
        <v>78</v>
      </c>
      <c r="E23" s="48"/>
      <c r="F23" s="48"/>
    </row>
    <row r="24" spans="1:7">
      <c r="A24" s="50"/>
      <c r="B24" s="51"/>
      <c r="C24" s="51"/>
      <c r="D24" s="7" t="s">
        <v>79</v>
      </c>
      <c r="E24" s="48"/>
      <c r="F24" s="48"/>
    </row>
    <row r="25" spans="1:7">
      <c r="A25" s="50"/>
      <c r="B25" s="51"/>
      <c r="C25" s="51"/>
      <c r="D25" s="7" t="s">
        <v>56</v>
      </c>
      <c r="E25" s="48"/>
      <c r="F25" s="48"/>
    </row>
    <row r="26" spans="1:7">
      <c r="A26" s="50"/>
      <c r="B26" s="52">
        <v>2</v>
      </c>
      <c r="C26" s="51">
        <v>2.1</v>
      </c>
      <c r="D26" s="7" t="s">
        <v>215</v>
      </c>
      <c r="E26" s="49" t="s">
        <v>17</v>
      </c>
      <c r="F26" s="48"/>
    </row>
    <row r="27" spans="1:7">
      <c r="A27" s="50"/>
      <c r="B27" s="52"/>
      <c r="C27" s="51"/>
      <c r="D27" s="7" t="s">
        <v>213</v>
      </c>
      <c r="E27" s="49"/>
      <c r="F27" s="48"/>
    </row>
    <row r="28" spans="1:7">
      <c r="A28" s="50"/>
      <c r="B28" s="52"/>
      <c r="C28" s="51"/>
      <c r="D28" s="7" t="s">
        <v>202</v>
      </c>
      <c r="E28" s="49"/>
      <c r="F28" s="48"/>
    </row>
    <row r="29" spans="1:7">
      <c r="A29" s="50"/>
      <c r="B29" s="52"/>
      <c r="C29" s="53">
        <v>2.2000000000000002</v>
      </c>
      <c r="D29" s="7" t="s">
        <v>80</v>
      </c>
      <c r="E29" s="48" t="s">
        <v>17</v>
      </c>
      <c r="F29" s="48"/>
    </row>
    <row r="30" spans="1:7">
      <c r="A30" s="50"/>
      <c r="B30" s="52"/>
      <c r="C30" s="53"/>
      <c r="D30" s="7" t="s">
        <v>81</v>
      </c>
      <c r="E30" s="48"/>
      <c r="F30" s="48"/>
    </row>
    <row r="31" spans="1:7">
      <c r="A31" s="50"/>
      <c r="B31" s="52"/>
      <c r="C31" s="51">
        <v>2.2999999999999998</v>
      </c>
      <c r="D31" s="7" t="s">
        <v>82</v>
      </c>
      <c r="E31" s="48" t="s">
        <v>21</v>
      </c>
      <c r="F31" s="48"/>
      <c r="G31" s="48" t="s">
        <v>214</v>
      </c>
    </row>
    <row r="32" spans="1:7">
      <c r="A32" s="50"/>
      <c r="B32" s="52"/>
      <c r="C32" s="51"/>
      <c r="D32" s="7" t="s">
        <v>83</v>
      </c>
      <c r="E32" s="48"/>
      <c r="F32" s="48"/>
      <c r="G32" s="48"/>
    </row>
    <row r="33" spans="1:7">
      <c r="A33" s="50"/>
      <c r="B33" s="52"/>
      <c r="C33" s="51"/>
      <c r="D33" s="7" t="s">
        <v>84</v>
      </c>
      <c r="E33" s="48"/>
      <c r="F33" s="48"/>
      <c r="G33" s="48"/>
    </row>
    <row r="34" spans="1:7">
      <c r="A34" s="50"/>
      <c r="B34" s="52"/>
      <c r="C34" s="51"/>
      <c r="D34" s="7" t="s">
        <v>85</v>
      </c>
      <c r="E34" s="48"/>
      <c r="F34" s="48"/>
      <c r="G34" s="48"/>
    </row>
    <row r="35" spans="1:7">
      <c r="A35" s="50"/>
      <c r="B35" s="52"/>
      <c r="C35" s="51"/>
      <c r="D35" s="7" t="s">
        <v>86</v>
      </c>
      <c r="E35" s="48"/>
      <c r="F35" s="48"/>
      <c r="G35" s="48"/>
    </row>
    <row r="36" spans="1:7">
      <c r="A36" s="50"/>
      <c r="B36" s="52"/>
      <c r="C36" s="51"/>
      <c r="D36" s="7" t="s">
        <v>87</v>
      </c>
      <c r="E36" s="48"/>
      <c r="F36" s="48"/>
      <c r="G36" s="48"/>
    </row>
    <row r="37" spans="1:7">
      <c r="A37" s="50"/>
      <c r="B37" s="52"/>
      <c r="C37" s="51"/>
      <c r="D37" s="7" t="s">
        <v>88</v>
      </c>
      <c r="E37" s="48"/>
      <c r="F37" s="48"/>
      <c r="G37" s="48"/>
    </row>
    <row r="38" spans="1:7">
      <c r="A38" s="50"/>
      <c r="B38" s="52"/>
      <c r="C38" s="51">
        <v>2.4</v>
      </c>
      <c r="D38" s="7" t="s">
        <v>89</v>
      </c>
      <c r="E38" s="48" t="s">
        <v>20</v>
      </c>
      <c r="F38" s="48"/>
    </row>
    <row r="39" spans="1:7">
      <c r="A39" s="50"/>
      <c r="B39" s="52"/>
      <c r="C39" s="51"/>
      <c r="D39" s="7" t="s">
        <v>90</v>
      </c>
      <c r="E39" s="48"/>
      <c r="F39" s="48"/>
    </row>
    <row r="40" spans="1:7">
      <c r="A40" s="50"/>
      <c r="B40" s="52"/>
      <c r="C40" s="51"/>
      <c r="D40" s="7" t="s">
        <v>91</v>
      </c>
      <c r="E40" s="48"/>
      <c r="F40" s="48"/>
    </row>
    <row r="41" spans="1:7">
      <c r="A41" s="50"/>
      <c r="B41" s="52"/>
      <c r="C41" s="51"/>
      <c r="D41" s="7" t="s">
        <v>33</v>
      </c>
      <c r="E41" s="48"/>
      <c r="F41" s="48"/>
    </row>
    <row r="42" spans="1:7">
      <c r="A42" s="50"/>
      <c r="B42" s="52"/>
      <c r="C42" s="51"/>
      <c r="D42" s="7" t="s">
        <v>92</v>
      </c>
      <c r="E42" s="48"/>
      <c r="F42" s="48"/>
    </row>
    <row r="43" spans="1:7">
      <c r="A43" s="50"/>
      <c r="B43" s="52"/>
      <c r="C43" s="51"/>
      <c r="D43" s="7" t="s">
        <v>93</v>
      </c>
      <c r="E43" s="48"/>
      <c r="F43" s="48"/>
    </row>
    <row r="44" spans="1:7">
      <c r="A44" s="50"/>
      <c r="B44" s="52"/>
      <c r="C44" s="51"/>
      <c r="D44" s="7" t="s">
        <v>94</v>
      </c>
      <c r="E44" s="48"/>
      <c r="F44" s="48"/>
    </row>
    <row r="45" spans="1:7">
      <c r="A45" s="50"/>
      <c r="B45" s="52"/>
      <c r="C45" s="51"/>
      <c r="D45" s="7" t="s">
        <v>95</v>
      </c>
      <c r="E45" s="48"/>
      <c r="F45" s="48"/>
    </row>
    <row r="46" spans="1:7">
      <c r="A46" s="50"/>
      <c r="B46" s="52"/>
      <c r="C46" s="51">
        <v>2.5</v>
      </c>
      <c r="D46" s="7" t="s">
        <v>203</v>
      </c>
      <c r="E46" s="49" t="s">
        <v>18</v>
      </c>
      <c r="F46" s="48"/>
    </row>
    <row r="47" spans="1:7">
      <c r="A47" s="50"/>
      <c r="B47" s="52"/>
      <c r="C47" s="51"/>
      <c r="D47" s="7" t="s">
        <v>96</v>
      </c>
      <c r="E47" s="49"/>
      <c r="F47" s="48"/>
    </row>
    <row r="48" spans="1:7">
      <c r="A48" s="50"/>
      <c r="B48" s="52"/>
      <c r="C48" s="51"/>
      <c r="D48" s="7" t="s">
        <v>97</v>
      </c>
      <c r="E48" s="49"/>
      <c r="F48" s="48"/>
    </row>
    <row r="49" spans="1:6">
      <c r="A49" s="50"/>
      <c r="B49" s="52"/>
      <c r="C49" s="51"/>
      <c r="D49" s="7" t="s">
        <v>98</v>
      </c>
      <c r="E49" s="49"/>
      <c r="F49" s="48"/>
    </row>
    <row r="50" spans="1:6">
      <c r="A50" s="50"/>
      <c r="B50" s="52"/>
      <c r="C50" s="51">
        <v>2.7</v>
      </c>
      <c r="D50" s="7" t="s">
        <v>99</v>
      </c>
      <c r="E50" s="48" t="s">
        <v>20</v>
      </c>
      <c r="F50" s="48"/>
    </row>
    <row r="51" spans="1:6">
      <c r="A51" s="50"/>
      <c r="B51" s="52"/>
      <c r="C51" s="51"/>
      <c r="D51" s="7" t="s">
        <v>100</v>
      </c>
      <c r="E51" s="48"/>
      <c r="F51" s="48"/>
    </row>
    <row r="52" spans="1:6">
      <c r="A52" s="50"/>
      <c r="B52" s="52"/>
      <c r="C52" s="51"/>
      <c r="D52" s="7" t="s">
        <v>101</v>
      </c>
      <c r="E52" s="48"/>
      <c r="F52" s="48"/>
    </row>
    <row r="53" spans="1:6">
      <c r="A53" s="50"/>
      <c r="B53" s="52"/>
      <c r="C53" s="51"/>
      <c r="D53" s="7" t="s">
        <v>102</v>
      </c>
      <c r="E53" s="48"/>
      <c r="F53" s="48"/>
    </row>
    <row r="54" spans="1:6">
      <c r="A54" s="50"/>
      <c r="B54" s="52"/>
      <c r="C54" s="51"/>
      <c r="D54" s="7" t="s">
        <v>103</v>
      </c>
      <c r="E54" s="48"/>
      <c r="F54" s="48"/>
    </row>
    <row r="55" spans="1:6">
      <c r="A55" s="50"/>
      <c r="B55" s="52"/>
      <c r="C55" s="51"/>
      <c r="D55" s="7" t="s">
        <v>104</v>
      </c>
      <c r="E55" s="48"/>
      <c r="F55" s="48"/>
    </row>
    <row r="56" spans="1:6">
      <c r="A56" s="50"/>
      <c r="B56" s="52"/>
      <c r="C56" s="51"/>
      <c r="D56" s="7" t="s">
        <v>105</v>
      </c>
      <c r="E56" s="48"/>
      <c r="F56" s="48"/>
    </row>
    <row r="57" spans="1:6">
      <c r="A57" s="50"/>
      <c r="B57" s="52"/>
      <c r="C57" s="51"/>
      <c r="D57" s="7" t="s">
        <v>106</v>
      </c>
      <c r="E57" s="48"/>
      <c r="F57" s="48"/>
    </row>
    <row r="58" spans="1:6">
      <c r="A58" s="50"/>
      <c r="B58" s="52"/>
      <c r="C58" s="51"/>
      <c r="D58" s="7" t="s">
        <v>57</v>
      </c>
      <c r="E58" s="48"/>
      <c r="F58" s="48"/>
    </row>
    <row r="59" spans="1:6">
      <c r="A59" s="20"/>
      <c r="B59" s="51">
        <v>3</v>
      </c>
      <c r="C59" s="51">
        <v>3.1</v>
      </c>
      <c r="D59" s="7" t="s">
        <v>107</v>
      </c>
    </row>
    <row r="60" spans="1:6">
      <c r="A60" s="19"/>
      <c r="B60" s="51"/>
      <c r="C60" s="51"/>
      <c r="D60" s="7" t="s">
        <v>108</v>
      </c>
    </row>
    <row r="61" spans="1:6">
      <c r="A61" s="19"/>
      <c r="B61" s="51"/>
      <c r="C61" s="51"/>
      <c r="D61" s="7" t="s">
        <v>109</v>
      </c>
    </row>
    <row r="62" spans="1:6">
      <c r="A62" s="19"/>
      <c r="B62" s="51"/>
      <c r="C62" s="51"/>
      <c r="D62" s="7" t="s">
        <v>204</v>
      </c>
    </row>
    <row r="63" spans="1:6">
      <c r="A63" s="19"/>
      <c r="B63" s="51"/>
      <c r="C63" s="51"/>
      <c r="D63" s="7" t="s">
        <v>205</v>
      </c>
    </row>
    <row r="64" spans="1:6">
      <c r="A64" s="19"/>
      <c r="B64" s="51"/>
      <c r="C64" s="51"/>
      <c r="D64" s="7" t="s">
        <v>110</v>
      </c>
    </row>
    <row r="65" spans="1:4">
      <c r="A65" s="19"/>
      <c r="B65" s="51"/>
      <c r="C65" s="51">
        <v>3.2</v>
      </c>
      <c r="D65" s="7" t="s">
        <v>111</v>
      </c>
    </row>
    <row r="66" spans="1:4">
      <c r="A66" s="19"/>
      <c r="B66" s="51"/>
      <c r="C66" s="51"/>
      <c r="D66" s="7" t="s">
        <v>112</v>
      </c>
    </row>
    <row r="67" spans="1:4">
      <c r="A67" s="19"/>
      <c r="B67" s="51"/>
      <c r="C67" s="51"/>
      <c r="D67" s="7" t="s">
        <v>34</v>
      </c>
    </row>
    <row r="68" spans="1:4">
      <c r="A68" s="19"/>
      <c r="B68" s="51"/>
      <c r="C68" s="51"/>
      <c r="D68" s="7" t="s">
        <v>113</v>
      </c>
    </row>
    <row r="69" spans="1:4">
      <c r="A69" s="19"/>
      <c r="B69" s="51"/>
      <c r="C69" s="51"/>
      <c r="D69" s="7" t="s">
        <v>114</v>
      </c>
    </row>
    <row r="70" spans="1:4">
      <c r="A70" s="19"/>
      <c r="B70" s="51"/>
      <c r="C70" s="51"/>
      <c r="D70" s="7" t="s">
        <v>115</v>
      </c>
    </row>
    <row r="71" spans="1:4">
      <c r="A71" s="19"/>
      <c r="B71" s="51"/>
      <c r="C71" s="51"/>
      <c r="D71" s="7" t="s">
        <v>116</v>
      </c>
    </row>
    <row r="72" spans="1:4">
      <c r="A72" s="19"/>
      <c r="B72" s="51"/>
      <c r="C72" s="51"/>
      <c r="D72" s="7" t="s">
        <v>32</v>
      </c>
    </row>
    <row r="73" spans="1:4">
      <c r="A73" s="19"/>
      <c r="B73" s="51"/>
      <c r="C73" s="51"/>
      <c r="D73" s="7" t="s">
        <v>117</v>
      </c>
    </row>
    <row r="74" spans="1:4">
      <c r="A74" s="19"/>
      <c r="B74" s="51"/>
      <c r="C74" s="51"/>
      <c r="D74" s="7" t="s">
        <v>206</v>
      </c>
    </row>
    <row r="75" spans="1:4">
      <c r="A75" s="19"/>
      <c r="B75" s="51"/>
      <c r="C75" s="51"/>
      <c r="D75" s="7" t="s">
        <v>118</v>
      </c>
    </row>
    <row r="76" spans="1:4">
      <c r="A76" s="19"/>
      <c r="B76" s="51"/>
      <c r="C76" s="51"/>
      <c r="D76" s="7" t="s">
        <v>98</v>
      </c>
    </row>
    <row r="77" spans="1:4">
      <c r="A77" s="19"/>
      <c r="B77" s="51"/>
      <c r="C77" s="51">
        <v>3.3</v>
      </c>
      <c r="D77" s="7" t="s">
        <v>119</v>
      </c>
    </row>
    <row r="78" spans="1:4">
      <c r="A78" s="19"/>
      <c r="B78" s="51"/>
      <c r="C78" s="51"/>
      <c r="D78" s="7" t="s">
        <v>120</v>
      </c>
    </row>
    <row r="79" spans="1:4">
      <c r="A79" s="19"/>
      <c r="B79" s="51"/>
      <c r="C79" s="51"/>
      <c r="D79" s="7" t="s">
        <v>121</v>
      </c>
    </row>
    <row r="80" spans="1:4">
      <c r="A80" s="19"/>
      <c r="B80" s="51"/>
      <c r="C80" s="51"/>
      <c r="D80" s="7" t="s">
        <v>122</v>
      </c>
    </row>
    <row r="81" spans="1:4">
      <c r="A81" s="19"/>
      <c r="B81" s="51"/>
      <c r="C81" s="51"/>
      <c r="D81" s="7" t="s">
        <v>123</v>
      </c>
    </row>
    <row r="82" spans="1:4">
      <c r="A82" s="19"/>
      <c r="B82" s="51"/>
      <c r="C82" s="51"/>
      <c r="D82" s="7" t="s">
        <v>207</v>
      </c>
    </row>
    <row r="83" spans="1:4">
      <c r="A83" s="19"/>
      <c r="B83" s="51"/>
      <c r="C83" s="51"/>
      <c r="D83" s="7" t="s">
        <v>124</v>
      </c>
    </row>
    <row r="84" spans="1:4">
      <c r="A84" s="19"/>
      <c r="B84" s="51"/>
      <c r="C84" s="51"/>
      <c r="D84" s="7" t="s">
        <v>125</v>
      </c>
    </row>
    <row r="85" spans="1:4">
      <c r="A85" s="19"/>
      <c r="B85" s="51"/>
      <c r="C85" s="51"/>
      <c r="D85" s="7" t="s">
        <v>126</v>
      </c>
    </row>
    <row r="86" spans="1:4">
      <c r="A86" s="19"/>
      <c r="B86" s="51"/>
      <c r="C86" s="51"/>
      <c r="D86" s="7" t="s">
        <v>127</v>
      </c>
    </row>
    <row r="87" spans="1:4">
      <c r="A87" s="19"/>
      <c r="B87" s="51"/>
      <c r="C87" s="51"/>
      <c r="D87" s="7" t="s">
        <v>128</v>
      </c>
    </row>
    <row r="88" spans="1:4">
      <c r="A88" s="19"/>
      <c r="B88" s="51"/>
      <c r="C88" s="51">
        <v>3.4</v>
      </c>
      <c r="D88" s="15" t="s">
        <v>129</v>
      </c>
    </row>
    <row r="89" spans="1:4">
      <c r="A89" s="19"/>
      <c r="B89" s="51"/>
      <c r="C89" s="51"/>
      <c r="D89" s="7" t="s">
        <v>208</v>
      </c>
    </row>
    <row r="90" spans="1:4">
      <c r="A90" s="19"/>
      <c r="B90" s="51"/>
      <c r="C90" s="51"/>
      <c r="D90" s="7" t="s">
        <v>130</v>
      </c>
    </row>
    <row r="91" spans="1:4">
      <c r="A91" s="19"/>
      <c r="B91" s="51"/>
      <c r="C91" s="51"/>
      <c r="D91" s="7" t="s">
        <v>131</v>
      </c>
    </row>
    <row r="92" spans="1:4">
      <c r="A92" s="19"/>
      <c r="B92" s="51"/>
      <c r="C92" s="51"/>
      <c r="D92" s="7" t="s">
        <v>132</v>
      </c>
    </row>
    <row r="93" spans="1:4">
      <c r="A93" s="19"/>
      <c r="B93" s="51"/>
      <c r="C93" s="51"/>
      <c r="D93" s="7" t="s">
        <v>133</v>
      </c>
    </row>
    <row r="94" spans="1:4">
      <c r="A94" s="19"/>
      <c r="B94" s="51"/>
      <c r="C94" s="51"/>
      <c r="D94" s="7" t="s">
        <v>134</v>
      </c>
    </row>
    <row r="95" spans="1:4">
      <c r="A95" s="19"/>
      <c r="B95" s="51"/>
      <c r="C95" s="51"/>
      <c r="D95" s="7" t="s">
        <v>135</v>
      </c>
    </row>
    <row r="96" spans="1:4">
      <c r="A96" s="19"/>
      <c r="B96" s="51"/>
      <c r="C96" s="51"/>
      <c r="D96" s="7" t="s">
        <v>136</v>
      </c>
    </row>
    <row r="97" spans="1:4">
      <c r="A97" s="19"/>
      <c r="B97" s="51"/>
      <c r="C97" s="51"/>
      <c r="D97" s="7" t="s">
        <v>137</v>
      </c>
    </row>
    <row r="98" spans="1:4">
      <c r="A98" s="19"/>
      <c r="B98" s="51"/>
      <c r="C98" s="51"/>
      <c r="D98" s="7" t="s">
        <v>138</v>
      </c>
    </row>
    <row r="99" spans="1:4">
      <c r="A99" s="19"/>
      <c r="B99" s="51"/>
      <c r="C99" s="51"/>
      <c r="D99" s="7" t="s">
        <v>139</v>
      </c>
    </row>
    <row r="100" spans="1:4">
      <c r="A100" s="19"/>
      <c r="B100" s="51"/>
      <c r="C100" s="51"/>
      <c r="D100" s="7" t="s">
        <v>140</v>
      </c>
    </row>
    <row r="101" spans="1:4">
      <c r="A101" s="19"/>
      <c r="B101" s="51"/>
      <c r="C101" s="51">
        <v>3.5</v>
      </c>
      <c r="D101" s="11" t="s">
        <v>141</v>
      </c>
    </row>
    <row r="102" spans="1:4">
      <c r="A102" s="19"/>
      <c r="B102" s="51"/>
      <c r="C102" s="51"/>
      <c r="D102" s="7" t="s">
        <v>142</v>
      </c>
    </row>
    <row r="103" spans="1:4">
      <c r="A103" s="19"/>
      <c r="B103" s="51"/>
      <c r="C103" s="51"/>
      <c r="D103" s="7" t="s">
        <v>143</v>
      </c>
    </row>
    <row r="104" spans="1:4">
      <c r="A104" s="19"/>
      <c r="B104" s="51"/>
      <c r="C104" s="51"/>
      <c r="D104" s="7" t="s">
        <v>144</v>
      </c>
    </row>
    <row r="105" spans="1:4">
      <c r="A105" s="19"/>
      <c r="B105" s="51"/>
      <c r="C105" s="51"/>
      <c r="D105" s="7" t="s">
        <v>145</v>
      </c>
    </row>
    <row r="106" spans="1:4">
      <c r="A106" s="19"/>
      <c r="B106" s="51"/>
      <c r="C106" s="51"/>
      <c r="D106" s="7" t="s">
        <v>146</v>
      </c>
    </row>
    <row r="107" spans="1:4">
      <c r="A107" s="19"/>
      <c r="B107" s="51"/>
      <c r="C107" s="51"/>
      <c r="D107" s="7" t="s">
        <v>147</v>
      </c>
    </row>
    <row r="108" spans="1:4">
      <c r="A108" s="19"/>
      <c r="B108" s="51"/>
      <c r="C108" s="51"/>
      <c r="D108" s="7" t="s">
        <v>148</v>
      </c>
    </row>
    <row r="109" spans="1:4">
      <c r="A109" s="19"/>
      <c r="B109" s="51"/>
      <c r="C109" s="51"/>
      <c r="D109" s="7" t="s">
        <v>149</v>
      </c>
    </row>
    <row r="110" spans="1:4">
      <c r="A110" s="19"/>
      <c r="B110" s="51"/>
      <c r="C110" s="51">
        <v>3.6</v>
      </c>
      <c r="D110" s="7" t="s">
        <v>209</v>
      </c>
    </row>
    <row r="111" spans="1:4">
      <c r="A111" s="19"/>
      <c r="B111" s="51"/>
      <c r="C111" s="51"/>
      <c r="D111" s="7" t="s">
        <v>210</v>
      </c>
    </row>
    <row r="112" spans="1:4">
      <c r="A112" s="19"/>
      <c r="B112" s="51"/>
      <c r="C112" s="51"/>
      <c r="D112" s="7" t="s">
        <v>211</v>
      </c>
    </row>
    <row r="113" spans="1:4">
      <c r="A113" s="19"/>
      <c r="B113" s="51"/>
      <c r="C113" s="51"/>
      <c r="D113" s="7" t="s">
        <v>150</v>
      </c>
    </row>
    <row r="114" spans="1:4">
      <c r="A114" s="19"/>
      <c r="B114" s="51"/>
      <c r="C114" s="51"/>
      <c r="D114" s="7" t="s">
        <v>151</v>
      </c>
    </row>
    <row r="115" spans="1:4">
      <c r="A115" s="19"/>
      <c r="B115" s="51"/>
      <c r="C115" s="51"/>
      <c r="D115" s="7" t="s">
        <v>212</v>
      </c>
    </row>
    <row r="116" spans="1:4">
      <c r="A116" s="19"/>
      <c r="B116" s="51"/>
      <c r="C116" s="51">
        <v>3.7</v>
      </c>
      <c r="D116" s="7" t="s">
        <v>152</v>
      </c>
    </row>
    <row r="117" spans="1:4">
      <c r="A117" s="19"/>
      <c r="B117" s="51"/>
      <c r="C117" s="51"/>
      <c r="D117" s="7" t="s">
        <v>153</v>
      </c>
    </row>
    <row r="118" spans="1:4">
      <c r="A118" s="19"/>
      <c r="B118" s="51"/>
      <c r="C118" s="51"/>
      <c r="D118" s="7" t="s">
        <v>154</v>
      </c>
    </row>
    <row r="119" spans="1:4">
      <c r="A119" s="19"/>
      <c r="B119" s="51"/>
      <c r="C119" s="51"/>
      <c r="D119" s="7" t="s">
        <v>155</v>
      </c>
    </row>
    <row r="120" spans="1:4">
      <c r="A120" s="19"/>
      <c r="B120" s="51"/>
      <c r="C120" s="51"/>
      <c r="D120" s="7" t="s">
        <v>156</v>
      </c>
    </row>
    <row r="121" spans="1:4">
      <c r="A121" s="19"/>
      <c r="B121" s="51"/>
      <c r="C121" s="51"/>
      <c r="D121" s="7" t="s">
        <v>157</v>
      </c>
    </row>
    <row r="122" spans="1:4">
      <c r="A122" s="19"/>
      <c r="B122" s="51"/>
      <c r="C122" s="51"/>
      <c r="D122" s="7" t="s">
        <v>158</v>
      </c>
    </row>
    <row r="123" spans="1:4">
      <c r="A123" s="19"/>
      <c r="B123" s="51"/>
      <c r="C123" s="51"/>
      <c r="D123" s="7" t="s">
        <v>159</v>
      </c>
    </row>
    <row r="124" spans="1:4">
      <c r="A124" s="19"/>
      <c r="B124" s="51"/>
      <c r="C124" s="51"/>
      <c r="D124" s="7" t="s">
        <v>160</v>
      </c>
    </row>
    <row r="125" spans="1:4">
      <c r="A125" s="19"/>
      <c r="B125" s="51"/>
      <c r="C125" s="51"/>
      <c r="D125" s="7" t="s">
        <v>161</v>
      </c>
    </row>
    <row r="126" spans="1:4">
      <c r="A126" s="19"/>
      <c r="B126" s="51"/>
      <c r="C126" s="51"/>
      <c r="D126" s="7" t="s">
        <v>162</v>
      </c>
    </row>
    <row r="127" spans="1:4">
      <c r="A127" s="19"/>
      <c r="B127" s="51"/>
      <c r="C127" s="51">
        <v>3.8</v>
      </c>
      <c r="D127" s="7" t="s">
        <v>36</v>
      </c>
    </row>
    <row r="128" spans="1:4">
      <c r="A128" s="19"/>
      <c r="B128" s="51"/>
      <c r="C128" s="51"/>
      <c r="D128" s="7" t="s">
        <v>37</v>
      </c>
    </row>
    <row r="129" spans="1:4">
      <c r="A129" s="19"/>
      <c r="B129" s="51"/>
      <c r="C129" s="51"/>
      <c r="D129" s="7" t="s">
        <v>163</v>
      </c>
    </row>
    <row r="130" spans="1:4">
      <c r="A130" s="19"/>
      <c r="B130" s="51"/>
      <c r="C130" s="51"/>
      <c r="D130" s="7" t="s">
        <v>38</v>
      </c>
    </row>
    <row r="131" spans="1:4">
      <c r="A131" s="19"/>
      <c r="B131" s="51"/>
      <c r="C131" s="51"/>
      <c r="D131" s="7" t="s">
        <v>39</v>
      </c>
    </row>
    <row r="132" spans="1:4">
      <c r="A132" s="19"/>
      <c r="B132" s="51"/>
      <c r="C132" s="51"/>
      <c r="D132" s="7" t="s">
        <v>40</v>
      </c>
    </row>
    <row r="133" spans="1:4">
      <c r="A133" s="19"/>
      <c r="B133" s="51"/>
      <c r="C133" s="51"/>
      <c r="D133" s="7" t="s">
        <v>41</v>
      </c>
    </row>
    <row r="134" spans="1:4">
      <c r="A134" s="19"/>
      <c r="B134" s="51"/>
      <c r="C134" s="51"/>
      <c r="D134" s="7" t="s">
        <v>42</v>
      </c>
    </row>
    <row r="135" spans="1:4">
      <c r="A135" s="19"/>
      <c r="B135" s="51"/>
      <c r="C135" s="51"/>
      <c r="D135" s="7" t="s">
        <v>43</v>
      </c>
    </row>
    <row r="136" spans="1:4">
      <c r="A136" s="19"/>
      <c r="B136" s="51"/>
      <c r="C136" s="51"/>
      <c r="D136" s="7" t="s">
        <v>164</v>
      </c>
    </row>
    <row r="137" spans="1:4">
      <c r="A137" s="19"/>
      <c r="B137" s="51"/>
      <c r="C137" s="51">
        <v>3.9</v>
      </c>
      <c r="D137" s="7" t="s">
        <v>165</v>
      </c>
    </row>
    <row r="138" spans="1:4">
      <c r="A138" s="19"/>
      <c r="B138" s="51"/>
      <c r="C138" s="51"/>
      <c r="D138" s="7" t="s">
        <v>35</v>
      </c>
    </row>
    <row r="139" spans="1:4">
      <c r="A139" s="19"/>
      <c r="B139" s="51"/>
      <c r="C139" s="51"/>
      <c r="D139" s="7" t="s">
        <v>166</v>
      </c>
    </row>
    <row r="140" spans="1:4">
      <c r="A140" s="19"/>
      <c r="B140" s="51"/>
      <c r="C140" s="51"/>
      <c r="D140" s="7" t="s">
        <v>167</v>
      </c>
    </row>
    <row r="141" spans="1:4">
      <c r="A141" s="19"/>
      <c r="B141" s="51"/>
      <c r="C141" s="51"/>
      <c r="D141" s="7" t="s">
        <v>168</v>
      </c>
    </row>
    <row r="142" spans="1:4">
      <c r="A142" s="19"/>
      <c r="B142" s="51"/>
      <c r="C142" s="54">
        <v>3.1</v>
      </c>
      <c r="D142" s="7" t="s">
        <v>169</v>
      </c>
    </row>
    <row r="143" spans="1:4">
      <c r="A143" s="19"/>
      <c r="B143" s="51"/>
      <c r="C143" s="54"/>
      <c r="D143" s="7" t="s">
        <v>170</v>
      </c>
    </row>
    <row r="144" spans="1:4">
      <c r="A144" s="19"/>
      <c r="B144" s="51"/>
      <c r="C144" s="54"/>
      <c r="D144" s="7" t="s">
        <v>171</v>
      </c>
    </row>
    <row r="145" spans="1:4">
      <c r="A145" s="19"/>
      <c r="B145" s="51"/>
      <c r="C145" s="54"/>
      <c r="D145" s="7" t="s">
        <v>172</v>
      </c>
    </row>
    <row r="146" spans="1:4">
      <c r="A146" s="19"/>
      <c r="B146" s="51"/>
      <c r="C146" s="54"/>
      <c r="D146" s="7" t="s">
        <v>173</v>
      </c>
    </row>
    <row r="147" spans="1:4">
      <c r="A147" s="19"/>
      <c r="B147" s="51"/>
      <c r="C147" s="54"/>
      <c r="D147" s="7" t="s">
        <v>174</v>
      </c>
    </row>
    <row r="148" spans="1:4">
      <c r="A148" s="19"/>
      <c r="B148" s="51"/>
      <c r="C148" s="54"/>
      <c r="D148" s="7" t="s">
        <v>175</v>
      </c>
    </row>
    <row r="149" spans="1:4">
      <c r="A149" s="19"/>
      <c r="B149" s="51"/>
      <c r="C149" s="54"/>
      <c r="D149" s="7" t="s">
        <v>176</v>
      </c>
    </row>
    <row r="150" spans="1:4">
      <c r="A150" s="19"/>
      <c r="B150" s="51"/>
      <c r="C150" s="54"/>
      <c r="D150" s="7" t="s">
        <v>177</v>
      </c>
    </row>
    <row r="151" spans="1:4">
      <c r="A151" s="19"/>
      <c r="B151" s="51"/>
      <c r="C151" s="54"/>
      <c r="D151" s="7" t="s">
        <v>178</v>
      </c>
    </row>
    <row r="152" spans="1:4">
      <c r="A152" s="19"/>
      <c r="B152" s="51"/>
      <c r="C152" s="54"/>
      <c r="D152" s="7" t="s">
        <v>179</v>
      </c>
    </row>
    <row r="153" spans="1:4">
      <c r="A153" s="19"/>
      <c r="B153" s="51"/>
      <c r="C153" s="54"/>
      <c r="D153" s="7" t="s">
        <v>180</v>
      </c>
    </row>
    <row r="154" spans="1:4">
      <c r="A154" s="19"/>
      <c r="B154" s="51"/>
      <c r="C154" s="54"/>
      <c r="D154" s="7" t="s">
        <v>181</v>
      </c>
    </row>
    <row r="155" spans="1:4">
      <c r="A155" s="19"/>
      <c r="B155" s="51"/>
      <c r="C155" s="54"/>
      <c r="D155" s="7" t="s">
        <v>182</v>
      </c>
    </row>
    <row r="156" spans="1:4">
      <c r="A156" s="19"/>
      <c r="B156" s="51"/>
      <c r="C156" s="54"/>
      <c r="D156" s="7" t="s">
        <v>58</v>
      </c>
    </row>
    <row r="157" spans="1:4">
      <c r="A157" s="20"/>
      <c r="B157" s="51">
        <v>4</v>
      </c>
      <c r="C157" s="51">
        <v>4.0999999999999996</v>
      </c>
      <c r="D157" s="7" t="s">
        <v>183</v>
      </c>
    </row>
    <row r="158" spans="1:4">
      <c r="A158" s="19"/>
      <c r="B158" s="51"/>
      <c r="C158" s="51"/>
      <c r="D158" s="7" t="s">
        <v>184</v>
      </c>
    </row>
    <row r="159" spans="1:4">
      <c r="A159" s="19"/>
      <c r="B159" s="51"/>
      <c r="C159" s="51"/>
      <c r="D159" s="7" t="s">
        <v>185</v>
      </c>
    </row>
    <row r="160" spans="1:4">
      <c r="A160" s="19"/>
      <c r="B160" s="51"/>
      <c r="C160" s="51"/>
      <c r="D160" s="7" t="s">
        <v>186</v>
      </c>
    </row>
    <row r="161" spans="1:4">
      <c r="A161" s="19"/>
      <c r="B161" s="51"/>
      <c r="C161" s="51">
        <v>4.2</v>
      </c>
      <c r="D161" s="7" t="s">
        <v>187</v>
      </c>
    </row>
    <row r="162" spans="1:4">
      <c r="A162" s="19"/>
      <c r="B162" s="51"/>
      <c r="C162" s="51"/>
      <c r="D162" s="7" t="s">
        <v>188</v>
      </c>
    </row>
    <row r="163" spans="1:4">
      <c r="A163" s="19"/>
      <c r="B163" s="51"/>
      <c r="C163" s="51"/>
      <c r="D163" s="7" t="s">
        <v>189</v>
      </c>
    </row>
    <row r="164" spans="1:4">
      <c r="A164" s="19"/>
      <c r="B164" s="51"/>
      <c r="C164" s="51"/>
      <c r="D164" s="7" t="s">
        <v>44</v>
      </c>
    </row>
    <row r="165" spans="1:4">
      <c r="A165" s="19"/>
      <c r="B165" s="51"/>
      <c r="C165" s="51"/>
      <c r="D165" s="7" t="s">
        <v>190</v>
      </c>
    </row>
    <row r="166" spans="1:4">
      <c r="A166" s="19"/>
      <c r="B166" s="51"/>
      <c r="C166" s="51"/>
      <c r="D166" s="7" t="s">
        <v>191</v>
      </c>
    </row>
    <row r="167" spans="1:4">
      <c r="A167" s="19"/>
      <c r="B167" s="51"/>
      <c r="C167" s="51"/>
      <c r="D167" s="7" t="s">
        <v>45</v>
      </c>
    </row>
    <row r="168" spans="1:4">
      <c r="A168" s="19"/>
      <c r="B168" s="51"/>
      <c r="C168" s="51">
        <v>4.3</v>
      </c>
      <c r="D168" s="7" t="s">
        <v>46</v>
      </c>
    </row>
    <row r="169" spans="1:4">
      <c r="A169" s="19"/>
      <c r="B169" s="51"/>
      <c r="C169" s="51"/>
      <c r="D169" s="7" t="s">
        <v>47</v>
      </c>
    </row>
    <row r="170" spans="1:4">
      <c r="A170" s="19"/>
      <c r="B170" s="51"/>
      <c r="C170" s="51"/>
      <c r="D170" s="7" t="s">
        <v>192</v>
      </c>
    </row>
    <row r="171" spans="1:4">
      <c r="A171" s="19"/>
      <c r="B171" s="51"/>
      <c r="C171" s="51"/>
      <c r="D171" s="7" t="s">
        <v>193</v>
      </c>
    </row>
    <row r="172" spans="1:4">
      <c r="A172" s="19"/>
      <c r="B172" s="51"/>
      <c r="C172" s="51"/>
      <c r="D172" s="7" t="s">
        <v>194</v>
      </c>
    </row>
    <row r="173" spans="1:4">
      <c r="A173" s="19"/>
      <c r="B173" s="51"/>
      <c r="C173" s="51"/>
      <c r="D173" s="7" t="s">
        <v>48</v>
      </c>
    </row>
    <row r="174" spans="1:4">
      <c r="A174" s="19"/>
      <c r="B174" s="51"/>
      <c r="C174" s="51">
        <v>4.4000000000000004</v>
      </c>
      <c r="D174" s="7" t="s">
        <v>195</v>
      </c>
    </row>
    <row r="175" spans="1:4">
      <c r="A175" s="19"/>
      <c r="B175" s="51"/>
      <c r="C175" s="51"/>
      <c r="D175" s="7" t="s">
        <v>196</v>
      </c>
    </row>
    <row r="176" spans="1:4">
      <c r="A176" s="19"/>
      <c r="B176" s="51"/>
      <c r="C176" s="51"/>
      <c r="D176" s="7" t="s">
        <v>197</v>
      </c>
    </row>
    <row r="177" spans="1:4">
      <c r="A177" s="19"/>
      <c r="B177" s="51"/>
      <c r="C177" s="51"/>
      <c r="D177" s="7" t="s">
        <v>198</v>
      </c>
    </row>
    <row r="178" spans="1:4">
      <c r="A178" s="19"/>
      <c r="B178" s="51"/>
      <c r="C178" s="51"/>
      <c r="D178" s="7" t="s">
        <v>199</v>
      </c>
    </row>
    <row r="179" spans="1:4">
      <c r="A179" s="19"/>
      <c r="B179" s="51"/>
      <c r="C179" s="51"/>
      <c r="D179" s="7" t="s">
        <v>200</v>
      </c>
    </row>
    <row r="180" spans="1:4">
      <c r="A180" s="19"/>
      <c r="B180" s="51"/>
      <c r="C180" s="51"/>
      <c r="D180" s="7" t="s">
        <v>201</v>
      </c>
    </row>
    <row r="181" spans="1:4">
      <c r="A181" s="19"/>
      <c r="B181" s="51"/>
      <c r="C181" s="51"/>
      <c r="D181" s="7" t="s">
        <v>59</v>
      </c>
    </row>
  </sheetData>
  <autoFilter ref="A2:J181" xr:uid="{00000000-0009-0000-0000-000001000000}"/>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9"/>
  <sheetViews>
    <sheetView tabSelected="1" topLeftCell="A6" zoomScale="101" workbookViewId="0">
      <selection activeCell="G7" sqref="G7"/>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54</v>
      </c>
      <c r="F2" s="10" t="s">
        <v>7</v>
      </c>
      <c r="G2" s="10" t="s">
        <v>4</v>
      </c>
      <c r="H2" s="10" t="s">
        <v>29</v>
      </c>
      <c r="I2" s="10" t="s">
        <v>3</v>
      </c>
      <c r="J2" s="10" t="s">
        <v>2</v>
      </c>
      <c r="K2" s="39" t="s">
        <v>255</v>
      </c>
      <c r="L2" s="40"/>
    </row>
    <row r="3" spans="1:12" ht="129.6">
      <c r="A3" s="44">
        <v>1</v>
      </c>
      <c r="B3" s="44">
        <v>1</v>
      </c>
      <c r="C3" s="15">
        <v>1.1000000000000001</v>
      </c>
      <c r="D3" s="2" t="s">
        <v>256</v>
      </c>
      <c r="E3" t="s">
        <v>20</v>
      </c>
      <c r="F3" cm="1">
        <f t="array" ref="F3">_xlfn.SWITCH(E3,"XS",1,"S",2,"M",3,"L",5,"XL",8,"XXL",13,"XXXL",21,"")</f>
        <v>5</v>
      </c>
      <c r="G3" t="s">
        <v>250</v>
      </c>
      <c r="H3" t="s">
        <v>265</v>
      </c>
    </row>
    <row r="4" spans="1:12" ht="57.6">
      <c r="A4" s="44"/>
      <c r="B4" s="44"/>
      <c r="C4" s="15">
        <v>1.2</v>
      </c>
      <c r="D4" s="2" t="s">
        <v>257</v>
      </c>
      <c r="E4" t="s">
        <v>19</v>
      </c>
      <c r="F4" cm="1">
        <f t="array" ref="F4">_xlfn.SWITCH(E4,"XS",1,"S",2,"M",3,"L",5,"XL",8,"XXL",13,"XXXL",21,"")</f>
        <v>3</v>
      </c>
      <c r="G4" t="s">
        <v>250</v>
      </c>
      <c r="H4" t="s">
        <v>265</v>
      </c>
    </row>
    <row r="5" spans="1:12" ht="43.2">
      <c r="A5" s="44"/>
      <c r="B5" s="44"/>
      <c r="C5" s="15">
        <v>1.3</v>
      </c>
      <c r="D5" s="2" t="s">
        <v>232</v>
      </c>
      <c r="E5" t="s">
        <v>17</v>
      </c>
      <c r="F5" cm="1">
        <f t="array" ref="F5">_xlfn.SWITCH(E5,"XS",1,"S",2,"M",3,"L",5,"XL",8,"XXL",13,"XXXL",21,"")</f>
        <v>1</v>
      </c>
      <c r="G5" t="s">
        <v>251</v>
      </c>
      <c r="H5" t="s">
        <v>265</v>
      </c>
    </row>
    <row r="6" spans="1:12" ht="115.2">
      <c r="A6" s="44"/>
      <c r="B6" s="44"/>
      <c r="C6" s="36">
        <v>1.4</v>
      </c>
      <c r="D6" s="37" t="s">
        <v>233</v>
      </c>
      <c r="E6" s="38" t="s">
        <v>20</v>
      </c>
      <c r="F6" s="38" cm="1">
        <f t="array" ref="F6">_xlfn.SWITCH(E6,"XS",1,"S",2,"M",3,"L",5,"XL",8,"XXL",13,"XXXL",21,"")</f>
        <v>5</v>
      </c>
      <c r="G6" s="38" t="s">
        <v>252</v>
      </c>
      <c r="H6" s="38" t="s">
        <v>265</v>
      </c>
      <c r="I6" s="38"/>
      <c r="J6" s="38"/>
    </row>
    <row r="7" spans="1:12" ht="72">
      <c r="A7" s="44"/>
      <c r="B7" s="44">
        <v>2</v>
      </c>
      <c r="C7" s="15">
        <v>2.1</v>
      </c>
      <c r="D7" s="2" t="s">
        <v>258</v>
      </c>
      <c r="E7" t="s">
        <v>18</v>
      </c>
      <c r="F7" cm="1">
        <f t="array" ref="F7">_xlfn.SWITCH(E7,"XS",1,"S",2,"M",3,"L",5,"XL",8,"XXL",13,"XXXL",21,"")</f>
        <v>2</v>
      </c>
      <c r="H7" t="s">
        <v>266</v>
      </c>
    </row>
    <row r="8" spans="1:12" ht="57.6">
      <c r="A8" s="44"/>
      <c r="B8" s="44"/>
      <c r="C8" s="15">
        <v>2.2000000000000002</v>
      </c>
      <c r="D8" s="2" t="s">
        <v>259</v>
      </c>
      <c r="E8" t="s">
        <v>17</v>
      </c>
      <c r="F8" cm="1">
        <f t="array" ref="F8">_xlfn.SWITCH(E8,"XS",1,"S",2,"M",3,"L",5,"XL",8,"XXL",13,"XXXL",21,"")</f>
        <v>1</v>
      </c>
      <c r="G8" t="s">
        <v>252</v>
      </c>
      <c r="H8" t="s">
        <v>265</v>
      </c>
    </row>
    <row r="9" spans="1:12" ht="100.8">
      <c r="A9" s="44"/>
      <c r="B9" s="44"/>
      <c r="C9" s="15">
        <v>2.2999999999999998</v>
      </c>
      <c r="D9" s="2" t="s">
        <v>260</v>
      </c>
      <c r="E9" t="s">
        <v>21</v>
      </c>
      <c r="F9" cm="1">
        <f t="array" ref="F9">_xlfn.SWITCH(E9,"XS",1,"S",2,"M",3,"L",5,"XL",8,"XXL",13,"XXXL",21,"")</f>
        <v>8</v>
      </c>
      <c r="G9" t="s">
        <v>214</v>
      </c>
      <c r="H9" t="s">
        <v>266</v>
      </c>
    </row>
    <row r="10" spans="1:12" ht="115.2">
      <c r="A10" s="44"/>
      <c r="B10" s="44"/>
      <c r="C10" s="15">
        <v>2.4</v>
      </c>
      <c r="D10" s="2" t="s">
        <v>261</v>
      </c>
      <c r="E10" t="s">
        <v>20</v>
      </c>
      <c r="F10" cm="1">
        <f t="array" ref="F10">_xlfn.SWITCH(E10,"XS",1,"S",2,"M",3,"L",5,"XL",8,"XXL",13,"XXXL",21,"")</f>
        <v>5</v>
      </c>
      <c r="G10" t="s">
        <v>253</v>
      </c>
      <c r="H10" t="s">
        <v>266</v>
      </c>
    </row>
    <row r="11" spans="1:12" ht="100.8">
      <c r="A11" s="44"/>
      <c r="B11" s="44"/>
      <c r="C11" s="15">
        <v>2.5</v>
      </c>
      <c r="D11" s="2" t="s">
        <v>262</v>
      </c>
      <c r="E11" t="s">
        <v>18</v>
      </c>
      <c r="F11" cm="1">
        <f t="array" ref="F11">_xlfn.SWITCH(E11,"XS",1,"S",2,"M",3,"L",5,"XL",8,"XXL",13,"XXXL",21,"")</f>
        <v>2</v>
      </c>
      <c r="H11" t="s">
        <v>267</v>
      </c>
    </row>
    <row r="12" spans="1:12" ht="115.2">
      <c r="A12" s="44"/>
      <c r="B12" s="44"/>
      <c r="C12" s="15">
        <v>2.6</v>
      </c>
      <c r="D12" s="2" t="s">
        <v>263</v>
      </c>
      <c r="E12" t="s">
        <v>19</v>
      </c>
      <c r="F12" cm="1">
        <f t="array" ref="F12">_xlfn.SWITCH(E12,"XS",1,"S",2,"M",3,"L",5,"XL",8,"XXL",13,"XXXL",21,"")</f>
        <v>3</v>
      </c>
      <c r="G12" t="s">
        <v>254</v>
      </c>
      <c r="H12" t="s">
        <v>267</v>
      </c>
    </row>
    <row r="13" spans="1:12" ht="158.4">
      <c r="A13" s="44"/>
      <c r="B13" s="44"/>
      <c r="C13" s="36">
        <v>2.7</v>
      </c>
      <c r="D13" s="37" t="s">
        <v>234</v>
      </c>
      <c r="E13" s="38" t="s">
        <v>20</v>
      </c>
      <c r="F13" s="38" cm="1">
        <f t="array" ref="F13">_xlfn.SWITCH(E13,"XS",1,"S",2,"M",3,"L",5,"XL",8,"XXL",13,"XXXL",21,"")</f>
        <v>5</v>
      </c>
      <c r="G13" s="38" t="s">
        <v>252</v>
      </c>
      <c r="H13" s="38" t="s">
        <v>267</v>
      </c>
      <c r="I13" s="38"/>
      <c r="J13" s="38"/>
    </row>
    <row r="14" spans="1:12" ht="144">
      <c r="C14" s="41">
        <v>2.8</v>
      </c>
      <c r="D14" s="42" t="s">
        <v>264</v>
      </c>
      <c r="E14" s="43" t="s">
        <v>20</v>
      </c>
      <c r="F14" s="43" cm="1">
        <f t="array" ref="F14">_xlfn.SWITCH(E14,"XS",1,"S",2,"M",3,"L",5,"XL",8,"XXL",13,"XXXL",21,"")</f>
        <v>5</v>
      </c>
      <c r="G14" s="43" t="s">
        <v>252</v>
      </c>
      <c r="H14" s="43" t="s">
        <v>267</v>
      </c>
      <c r="I14" s="43"/>
      <c r="J14" s="43"/>
    </row>
    <row r="15" spans="1:12">
      <c r="A15" s="33"/>
      <c r="B15" s="34"/>
      <c r="C15" s="34"/>
      <c r="D15" s="30" t="s">
        <v>235</v>
      </c>
      <c r="E15" s="29"/>
      <c r="F15" s="29">
        <f>SUM(F3:F14)</f>
        <v>45</v>
      </c>
      <c r="G15" s="29"/>
      <c r="H15" s="29"/>
      <c r="I15" s="29"/>
      <c r="J15" s="31"/>
    </row>
    <row r="16" spans="1:12" ht="86.4">
      <c r="A16" s="45">
        <v>2</v>
      </c>
      <c r="B16" s="45">
        <v>3</v>
      </c>
      <c r="C16" s="15">
        <v>3.1</v>
      </c>
      <c r="D16" s="2" t="s">
        <v>236</v>
      </c>
    </row>
    <row r="17" spans="1:4" ht="172.8">
      <c r="A17" s="44"/>
      <c r="B17" s="44"/>
      <c r="C17" s="15">
        <v>3.2</v>
      </c>
      <c r="D17" s="2" t="s">
        <v>237</v>
      </c>
    </row>
    <row r="18" spans="1:4" ht="158.4">
      <c r="A18" s="44"/>
      <c r="B18" s="44"/>
      <c r="C18" s="15">
        <v>3.3</v>
      </c>
      <c r="D18" s="2" t="s">
        <v>238</v>
      </c>
    </row>
    <row r="19" spans="1:4" ht="187.2">
      <c r="A19" s="44"/>
      <c r="B19" s="44"/>
      <c r="C19" s="15">
        <v>3.4</v>
      </c>
      <c r="D19" s="2" t="s">
        <v>239</v>
      </c>
    </row>
    <row r="20" spans="1:4" ht="129.6">
      <c r="A20" s="44"/>
      <c r="B20" s="44"/>
      <c r="C20" s="15">
        <v>3.5</v>
      </c>
      <c r="D20" s="2" t="s">
        <v>240</v>
      </c>
    </row>
    <row r="21" spans="1:4" ht="86.4">
      <c r="A21" s="44"/>
      <c r="B21" s="44"/>
      <c r="C21" s="15">
        <v>3.6</v>
      </c>
      <c r="D21" s="2" t="s">
        <v>241</v>
      </c>
    </row>
    <row r="22" spans="1:4" ht="158.4">
      <c r="A22" s="44"/>
      <c r="B22" s="44"/>
      <c r="C22" s="15">
        <v>3.7</v>
      </c>
      <c r="D22" s="2" t="s">
        <v>242</v>
      </c>
    </row>
    <row r="23" spans="1:4" ht="144">
      <c r="A23" s="44"/>
      <c r="B23" s="44"/>
      <c r="C23" s="15">
        <v>3.8</v>
      </c>
      <c r="D23" s="2" t="s">
        <v>243</v>
      </c>
    </row>
    <row r="24" spans="1:4" ht="72">
      <c r="A24" s="44"/>
      <c r="B24" s="44"/>
      <c r="C24" s="15">
        <v>3.9</v>
      </c>
      <c r="D24" s="2" t="s">
        <v>244</v>
      </c>
    </row>
    <row r="25" spans="1:4" ht="216">
      <c r="A25" s="44"/>
      <c r="B25" s="44"/>
      <c r="C25" s="35">
        <v>3.1</v>
      </c>
      <c r="D25" s="2" t="s">
        <v>245</v>
      </c>
    </row>
    <row r="26" spans="1:4" ht="57.6">
      <c r="A26" s="44"/>
      <c r="B26" s="44">
        <v>4</v>
      </c>
      <c r="C26" s="15">
        <v>4.0999999999999996</v>
      </c>
      <c r="D26" s="2" t="s">
        <v>246</v>
      </c>
    </row>
    <row r="27" spans="1:4" ht="100.8">
      <c r="A27" s="44"/>
      <c r="B27" s="44"/>
      <c r="C27" s="15">
        <v>4.2</v>
      </c>
      <c r="D27" s="2" t="s">
        <v>247</v>
      </c>
    </row>
    <row r="28" spans="1:4" ht="86.4">
      <c r="A28" s="44"/>
      <c r="B28" s="44"/>
      <c r="C28" s="15">
        <v>4.3</v>
      </c>
      <c r="D28" s="2" t="s">
        <v>248</v>
      </c>
    </row>
    <row r="29" spans="1:4" ht="115.2">
      <c r="A29" s="44"/>
      <c r="B29" s="44"/>
      <c r="C29" s="15">
        <v>4.4000000000000004</v>
      </c>
      <c r="D29" s="2" t="s">
        <v>249</v>
      </c>
    </row>
  </sheetData>
  <mergeCells count="7">
    <mergeCell ref="B26:B29"/>
    <mergeCell ref="A16:A29"/>
    <mergeCell ref="A1:J1"/>
    <mergeCell ref="A3:A13"/>
    <mergeCell ref="B3:B6"/>
    <mergeCell ref="B7:B13"/>
    <mergeCell ref="B16:B25"/>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selection activeCell="E10" sqref="E10"/>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216</v>
      </c>
      <c r="B1" s="23" t="s">
        <v>217</v>
      </c>
      <c r="C1" s="24" t="s">
        <v>218</v>
      </c>
      <c r="D1" s="24" t="s">
        <v>219</v>
      </c>
      <c r="E1" s="24" t="s">
        <v>220</v>
      </c>
    </row>
    <row r="2" spans="1:5">
      <c r="A2" s="25" t="s">
        <v>229</v>
      </c>
      <c r="B2" s="26">
        <v>46265</v>
      </c>
      <c r="C2" s="27">
        <v>45</v>
      </c>
      <c r="D2" s="12">
        <f>('Updated Sprint'!F15)*(1-(A2-1)/8)</f>
        <v>45</v>
      </c>
      <c r="E2" s="28">
        <v>1</v>
      </c>
    </row>
    <row r="3" spans="1:5">
      <c r="A3" s="25" t="s">
        <v>221</v>
      </c>
      <c r="B3" s="26">
        <v>46266</v>
      </c>
      <c r="C3" s="27">
        <f>('Updated Sprint'!F15)-SUM(E$2:E3)</f>
        <v>44</v>
      </c>
      <c r="D3" s="12">
        <f>('Updated Sprint'!F15)*(1-(A3-1)/8)</f>
        <v>39.375</v>
      </c>
      <c r="E3" s="28">
        <v>0</v>
      </c>
    </row>
    <row r="4" spans="1:5">
      <c r="A4" s="25" t="s">
        <v>222</v>
      </c>
      <c r="B4" s="26">
        <v>46267</v>
      </c>
      <c r="C4" s="27">
        <f>('Updated Sprint'!F15)-SUM(E$2:E4)</f>
        <v>39</v>
      </c>
      <c r="D4" s="12">
        <f>('Updated Sprint'!F15)*(1-(A4-1)/8)</f>
        <v>33.75</v>
      </c>
      <c r="E4" s="28">
        <v>5</v>
      </c>
    </row>
    <row r="5" spans="1:5">
      <c r="A5" s="25" t="s">
        <v>223</v>
      </c>
      <c r="B5" s="26">
        <v>46268</v>
      </c>
      <c r="C5" s="27">
        <f>('Updated Sprint'!F15)-SUM(E$2:E5)</f>
        <v>39</v>
      </c>
      <c r="D5" s="12">
        <f>('Updated Sprint'!F15)*(1-(A5-1)/8)</f>
        <v>28.125</v>
      </c>
      <c r="E5" s="28">
        <v>0</v>
      </c>
    </row>
    <row r="6" spans="1:5">
      <c r="A6" s="25" t="s">
        <v>224</v>
      </c>
      <c r="B6" s="26">
        <v>46269</v>
      </c>
      <c r="C6" s="27">
        <f>('Updated Sprint'!F15)-SUM(E$2:E6)</f>
        <v>36</v>
      </c>
      <c r="D6" s="12">
        <f>('Updated Sprint'!F15)*(1-(A6-1)/8)</f>
        <v>22.5</v>
      </c>
      <c r="E6" s="28">
        <v>3</v>
      </c>
    </row>
    <row r="7" spans="1:5">
      <c r="A7" s="25" t="s">
        <v>225</v>
      </c>
      <c r="B7" s="26">
        <v>46272</v>
      </c>
      <c r="C7" s="27">
        <f>('Updated Sprint'!F15)-SUM(E$2:E7)</f>
        <v>31</v>
      </c>
      <c r="D7" s="12">
        <f>('Updated Sprint'!F15)*(1-(A7-1)/8)</f>
        <v>16.875</v>
      </c>
      <c r="E7" s="28">
        <v>5</v>
      </c>
    </row>
    <row r="8" spans="1:5">
      <c r="A8" s="25" t="s">
        <v>226</v>
      </c>
      <c r="B8" s="26">
        <v>46273</v>
      </c>
      <c r="C8" s="27">
        <f>('Updated Sprint'!F15)-SUM(E$2:E8)</f>
        <v>31</v>
      </c>
      <c r="D8" s="12">
        <f>('Updated Sprint'!F15)*(1-(A8-1)/8)</f>
        <v>11.25</v>
      </c>
      <c r="E8" s="28">
        <v>0</v>
      </c>
    </row>
    <row r="9" spans="1:5">
      <c r="A9" s="25" t="s">
        <v>227</v>
      </c>
      <c r="B9" s="26">
        <v>46274</v>
      </c>
      <c r="C9" s="27">
        <f>('Updated Sprint'!F15)-SUM(E$2:E9)</f>
        <v>30</v>
      </c>
      <c r="D9" s="12">
        <f>('Updated Sprint'!F15)*(1-(A9-1)/8)</f>
        <v>5.625</v>
      </c>
      <c r="E9" s="28">
        <v>1</v>
      </c>
    </row>
    <row r="10" spans="1:5">
      <c r="A10" s="25" t="s">
        <v>228</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2026-09-10T09:32:35Z</dcterms:modified>
</cp:coreProperties>
</file>