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filterPrivacy="1" defaultThemeVersion="124226"/>
  <xr:revisionPtr revIDLastSave="0" documentId="13_ncr:1_{D41AF736-7A6A-4AF4-9A10-88AD80BDA3AB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Project Plan" sheetId="1" r:id="rId1"/>
    <sheet name="Sprint Plan" sheetId="2" r:id="rId2"/>
    <sheet name="Sprint Backlog" sheetId="3" r:id="rId3"/>
    <sheet name="Product Backlog" sheetId="4" r:id="rId4"/>
    <sheet name="T Shirt sizing rul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J3" i="4" s="1"/>
  <c r="C3" i="5"/>
  <c r="D3" i="5" s="1"/>
  <c r="F3" i="5" l="1"/>
  <c r="E3" i="5"/>
  <c r="G3" i="5" l="1"/>
</calcChain>
</file>

<file path=xl/sharedStrings.xml><?xml version="1.0" encoding="utf-8"?>
<sst xmlns="http://schemas.openxmlformats.org/spreadsheetml/2006/main" count="277" uniqueCount="164">
  <si>
    <t>Gain access to the Dev pannel of Shopify website for CelRevive from client.</t>
  </si>
  <si>
    <t>Sayan</t>
  </si>
  <si>
    <t>Start Date</t>
  </si>
  <si>
    <t>How to integrate a React widget component inside dev pannel of shopify websites. Specifically a survey and a camera widget. Do we need a separate widget for the recommendation page? Or a shopify page itself may work?</t>
  </si>
  <si>
    <t>BackEnd</t>
  </si>
  <si>
    <t>Work Item</t>
  </si>
  <si>
    <t>Responsible</t>
  </si>
  <si>
    <t>Comments/ Notes</t>
  </si>
  <si>
    <t>Section</t>
  </si>
  <si>
    <t>Front End</t>
  </si>
  <si>
    <t>Sl #</t>
  </si>
  <si>
    <t>Responsive React Widget for Questionnaire</t>
  </si>
  <si>
    <t>Shopify page to begin assessment</t>
  </si>
  <si>
    <t>Shopify page to show recommendation</t>
  </si>
  <si>
    <t>ETA</t>
  </si>
  <si>
    <t>Database vectorization - close review comments</t>
  </si>
  <si>
    <t>Review comments alread in Git</t>
  </si>
  <si>
    <t>Responsive React Widget for Camera + consent</t>
  </si>
  <si>
    <t>Image preprocessing &amp; quality validation</t>
  </si>
  <si>
    <t>Quality check of the image: if the image is of someone's skin or not, If the image is of skin but has deformities (e.g. not clear, low light etc.)</t>
  </si>
  <si>
    <t>Gemini concern classification</t>
  </si>
  <si>
    <t>From the RAG concerns table only</t>
  </si>
  <si>
    <t xml:space="preserve">Questionnaire processing </t>
  </si>
  <si>
    <t>From the concerns table only. The processing of the questionnaire responses may be deterministic. Vidit to create the core logic of Questionnaire processing and get it reviewed with Lindsey/ business.</t>
  </si>
  <si>
    <t>RAG-based base &amp; active retrieval</t>
  </si>
  <si>
    <t>Sayan, Soubhanik, Anirban's help</t>
  </si>
  <si>
    <t>Compatibility filtering</t>
  </si>
  <si>
    <t>Formulation ranking</t>
  </si>
  <si>
    <t>Gemini-generated formulation explanation</t>
  </si>
  <si>
    <t>JSON response to frontend</t>
  </si>
  <si>
    <t>Vidit, Rajanya</t>
  </si>
  <si>
    <t>Azad, Nathan</t>
  </si>
  <si>
    <t>Shopify "Check out" and "add to cart" functionalities from recommendation page.</t>
  </si>
  <si>
    <r>
      <t xml:space="preserve">Shopify website </t>
    </r>
    <r>
      <rPr>
        <b/>
        <sz val="11"/>
        <color theme="1"/>
        <rFont val="Calibri"/>
        <family val="2"/>
        <scheme val="minor"/>
      </rPr>
      <t>hands-on</t>
    </r>
    <r>
      <rPr>
        <sz val="11"/>
        <color theme="1"/>
        <rFont val="Calibri"/>
        <family val="2"/>
        <scheme val="minor"/>
      </rPr>
      <t xml:space="preserve"> research.</t>
    </r>
  </si>
  <si>
    <t xml:space="preserve">Add exclusion table </t>
  </si>
  <si>
    <t xml:space="preserve">Contains allergens and contraindictions which users answer in questionnaire </t>
  </si>
  <si>
    <t xml:space="preserve">Vision LLM concern extraction prompt &amp; json design </t>
  </si>
  <si>
    <t>SQL Candidate Shortlist Query</t>
  </si>
  <si>
    <t>Formulation LLM call prompt and json design</t>
  </si>
  <si>
    <t>Questionnaire concern extraction prompt &amp; json design</t>
  </si>
  <si>
    <t xml:space="preserve">Design json structure to send shortlist package and get active, base , dosage and explanation. </t>
  </si>
  <si>
    <t xml:space="preserve">Concern fusion </t>
  </si>
  <si>
    <t>1. Use exclusion table (item 9) to filter out allergens and contraindications
2.From the user's confirmed concerns, join concern_benefit with active_benefit_score and base_active_compatability, to give filtered, structured json packet</t>
  </si>
  <si>
    <t>Post Generation safety re-check</t>
  </si>
  <si>
    <t xml:space="preserve">Final check to see if returned formulation contains any exclusions or incompatabilities </t>
  </si>
  <si>
    <t xml:space="preserve">LLM interaction auditing </t>
  </si>
  <si>
    <r>
      <t xml:space="preserve">Write to existing </t>
    </r>
    <r>
      <rPr>
        <sz val="10"/>
        <color theme="1"/>
        <rFont val="Arial Unicode MS"/>
      </rPr>
      <t>audit_log</t>
    </r>
    <r>
      <rPr>
        <sz val="11"/>
        <color theme="1"/>
        <rFont val="Calibri"/>
        <family val="2"/>
        <scheme val="minor"/>
      </rPr>
      <t xml:space="preserve"> — no new table needed</t>
    </r>
  </si>
  <si>
    <t>Task</t>
  </si>
  <si>
    <t>Add exclusion table</t>
  </si>
  <si>
    <t>Design schema (allergen/exclusion master + active link table)</t>
  </si>
  <si>
    <t>Map questionnaire allergen field → exclusion table (structured, not free-text)</t>
  </si>
  <si>
    <t>Write DDL migration</t>
  </si>
  <si>
    <t>Seed exclusion data from workbook/domain input</t>
  </si>
  <si>
    <t>Write QA query to validate coverage (e.g. every active has been assessed against every known allergen category)</t>
  </si>
  <si>
    <t xml:space="preserve">Image Preprocessing &amp; Quality Validation </t>
  </si>
  <si>
    <t>Define acceptance thresholds (blur, lighting,resolution)</t>
  </si>
  <si>
    <t>Vision LLM Concern Extraction</t>
  </si>
  <si>
    <t>Define prompt structure</t>
  </si>
  <si>
    <t>Questionnaire Concern Extraction</t>
  </si>
  <si>
    <t xml:space="preserve">Concern Fusion </t>
  </si>
  <si>
    <t>Fuse questionnaire &amp; image skin detected skin concerns using OR  logic i.e
skin_concerns = questionnaire_concerns OR image_concerns</t>
  </si>
  <si>
    <r>
      <t xml:space="preserve">Update </t>
    </r>
    <r>
      <rPr>
        <b/>
        <sz val="11"/>
        <color theme="1"/>
        <rFont val="Calibri"/>
        <family val="2"/>
        <scheme val="minor"/>
      </rPr>
      <t>session_skin_concern_score</t>
    </r>
    <r>
      <rPr>
        <sz val="11"/>
        <color theme="1"/>
        <rFont val="Calibri"/>
        <family val="2"/>
        <scheme val="minor"/>
      </rPr>
      <t xml:space="preserve"> table</t>
    </r>
  </si>
  <si>
    <t>Apply exclusion filter</t>
  </si>
  <si>
    <r>
      <t xml:space="preserve">Define JSON package shape for LLM call - </t>
    </r>
    <r>
      <rPr>
        <b/>
        <sz val="11"/>
        <color theme="1"/>
        <rFont val="Calibri"/>
        <family val="2"/>
        <scheme val="minor"/>
      </rPr>
      <t>shortlist_json</t>
    </r>
  </si>
  <si>
    <t xml:space="preserve">Formulation LLM Call </t>
  </si>
  <si>
    <r>
      <t xml:space="preserve">Draft prompt template consuming </t>
    </r>
    <r>
      <rPr>
        <b/>
        <sz val="11"/>
        <color theme="1"/>
        <rFont val="Calibri"/>
        <family val="2"/>
        <scheme val="minor"/>
      </rPr>
      <t xml:space="preserve">shortlist_json </t>
    </r>
  </si>
  <si>
    <t>Define output Json Schema</t>
  </si>
  <si>
    <t>Work Serial</t>
  </si>
  <si>
    <t>Desginated Team</t>
  </si>
  <si>
    <t xml:space="preserve">Backend Sprint </t>
  </si>
  <si>
    <t>Status</t>
  </si>
  <si>
    <t>LLM Interaction auditing</t>
  </si>
  <si>
    <r>
      <t xml:space="preserve">Define </t>
    </r>
    <r>
      <rPr>
        <b/>
        <sz val="11"/>
        <color theme="1"/>
        <rFont val="Calibri"/>
        <family val="2"/>
        <scheme val="minor"/>
      </rPr>
      <t>audit_log</t>
    </r>
    <r>
      <rPr>
        <sz val="11"/>
        <color theme="1"/>
        <rFont val="Calibri"/>
        <family val="2"/>
        <scheme val="minor"/>
      </rPr>
      <t xml:space="preserve"> payload shape per event_type (image, questionnaire,formulation)</t>
    </r>
  </si>
  <si>
    <t>Implement logging calls at each LLM touchpoint</t>
  </si>
  <si>
    <t>Define final response schema (formulation,actives,bases,explanation, formulation_id,etc)</t>
  </si>
  <si>
    <t>Implement DB -&gt; Json serialization</t>
  </si>
  <si>
    <t xml:space="preserve">Define error/fallback response </t>
  </si>
  <si>
    <t>Shopify integration test</t>
  </si>
  <si>
    <t>Work Sub Serial</t>
  </si>
  <si>
    <t>Sprint Serial</t>
  </si>
  <si>
    <t>SQL Candidate Shortlist Query (Optional)</t>
  </si>
  <si>
    <t>Audit final candidate table</t>
  </si>
  <si>
    <t>Sprint Start</t>
  </si>
  <si>
    <t>Duration</t>
  </si>
  <si>
    <t xml:space="preserve">Define output JSON structure </t>
  </si>
  <si>
    <r>
      <t xml:space="preserve">Implement preprocessing pipeline </t>
    </r>
    <r>
      <rPr>
        <sz val="11"/>
        <color rgb="FFFF0000"/>
        <rFont val="Calibri"/>
        <family val="2"/>
        <scheme val="minor"/>
      </rPr>
      <t>(update in detail)</t>
    </r>
  </si>
  <si>
    <t>Scope</t>
  </si>
  <si>
    <r>
      <t xml:space="preserve">Quality gate + reject/retry module
</t>
    </r>
    <r>
      <rPr>
        <sz val="11"/>
        <color rgb="FFFF0000"/>
        <rFont val="Calibri"/>
        <family val="2"/>
        <scheme val="minor"/>
      </rPr>
      <t>(capture status code from backend and display in the frontend in a UX shell)</t>
    </r>
  </si>
  <si>
    <t>Rajanya , Azad</t>
  </si>
  <si>
    <t>Vidit</t>
  </si>
  <si>
    <t>6 days</t>
  </si>
  <si>
    <t>Soubhanik</t>
  </si>
  <si>
    <t>3 days</t>
  </si>
  <si>
    <t>End Date</t>
  </si>
  <si>
    <t>7 days</t>
  </si>
  <si>
    <t xml:space="preserve">Sprint Review </t>
  </si>
  <si>
    <t>TBD</t>
  </si>
  <si>
    <t>Blocker</t>
  </si>
  <si>
    <t>Client yet to mail back</t>
  </si>
  <si>
    <t>In Progress</t>
  </si>
  <si>
    <t>2 days</t>
  </si>
  <si>
    <t>Team</t>
  </si>
  <si>
    <t>Rajanya, Azad and Vidit</t>
  </si>
  <si>
    <r>
      <t xml:space="preserve">join </t>
    </r>
    <r>
      <rPr>
        <b/>
        <sz val="11"/>
        <color theme="1"/>
        <rFont val="Calibri"/>
        <family val="2"/>
        <scheme val="minor"/>
      </rPr>
      <t>concern_benefit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active_benefit</t>
    </r>
    <r>
      <rPr>
        <sz val="11"/>
        <color theme="1"/>
        <rFont val="Calibri"/>
        <family val="2"/>
        <scheme val="minor"/>
      </rPr>
      <t xml:space="preserve"> _</t>
    </r>
    <r>
      <rPr>
        <b/>
        <sz val="11"/>
        <color theme="1"/>
        <rFont val="Calibri"/>
        <family val="2"/>
        <scheme val="minor"/>
      </rPr>
      <t xml:space="preserve">score+base_active_compatability
</t>
    </r>
    <r>
      <rPr>
        <sz val="11"/>
        <color theme="1"/>
        <rFont val="Calibri"/>
        <family val="2"/>
        <scheme val="minor"/>
      </rPr>
      <t xml:space="preserve">(climate, skin type {oily,semi-oily,dry,etc},acne suitable) -&gt; bases
</t>
    </r>
    <r>
      <rPr>
        <sz val="11"/>
        <color rgb="FFC00000"/>
        <rFont val="Calibri"/>
        <family val="2"/>
        <scheme val="minor"/>
      </rPr>
      <t>(vector db query ; no deterministic logic)</t>
    </r>
  </si>
  <si>
    <t>Sprint</t>
  </si>
  <si>
    <t>User Story</t>
  </si>
  <si>
    <t>Priority</t>
  </si>
  <si>
    <t>Story Points</t>
  </si>
  <si>
    <t>Designated Team</t>
  </si>
  <si>
    <t>Image Preprocessing &amp; Quality</t>
  </si>
  <si>
    <t>Questionnaire concern extraction</t>
  </si>
  <si>
    <t>Concern Fusion</t>
  </si>
  <si>
    <t>As a customer, I want the system to shortlist compatible actives and bases based on my combined image and questionnaire concerns, so that only relevant, safe candidates feed into my formulation.</t>
  </si>
  <si>
    <t>As a customer, I want to receive a formulation — recommended
 actives, bases, dosage and explanation — based on my shortlisted 
candidates, so that I get a personalised, safe product recommendation.</t>
  </si>
  <si>
    <t>Formulation LLM Call</t>
  </si>
  <si>
    <t>LLM interaction auditing</t>
  </si>
  <si>
    <t>Internal Review</t>
  </si>
  <si>
    <t>Client Review</t>
  </si>
  <si>
    <t>Shopify Integration Feasibility Test</t>
  </si>
  <si>
    <t>Test the feasibility of shopify api integration</t>
  </si>
  <si>
    <t>pending access to client shopify store</t>
  </si>
  <si>
    <t>Quality Testing</t>
  </si>
  <si>
    <t>Create a test dataset</t>
  </si>
  <si>
    <t>Validate System with test dataset</t>
  </si>
  <si>
    <r>
      <rPr>
        <b/>
        <sz val="11"/>
        <color theme="1"/>
        <rFont val="Calibri"/>
        <family val="2"/>
        <scheme val="minor"/>
      </rPr>
      <t>As a</t>
    </r>
    <r>
      <rPr>
        <sz val="11"/>
        <color theme="1"/>
        <rFont val="Calibri"/>
        <family val="2"/>
        <scheme val="minor"/>
      </rPr>
      <t xml:space="preserve"> customer, </t>
    </r>
    <r>
      <rPr>
        <b/>
        <sz val="11"/>
        <color theme="1"/>
        <rFont val="Calibri"/>
        <family val="2"/>
        <scheme val="minor"/>
      </rPr>
      <t>I want to</t>
    </r>
    <r>
      <rPr>
        <sz val="11"/>
        <color theme="1"/>
        <rFont val="Calibri"/>
        <family val="2"/>
        <scheme val="minor"/>
      </rPr>
      <t xml:space="preserve"> answer a questionnaire, and after processing, receive my detected skin concerns, allergies, contraindications and skin properties (?),</t>
    </r>
    <r>
      <rPr>
        <b/>
        <sz val="11"/>
        <color theme="1"/>
        <rFont val="Calibri"/>
        <family val="2"/>
        <scheme val="minor"/>
      </rPr>
      <t>so that</t>
    </r>
    <r>
      <rPr>
        <sz val="11"/>
        <color theme="1"/>
        <rFont val="Calibri"/>
        <family val="2"/>
        <scheme val="minor"/>
      </rPr>
      <t xml:space="preserve"> system understands my entire skin profile for formulation reccomendation ( bases)</t>
    </r>
  </si>
  <si>
    <t>Response to frontend</t>
  </si>
  <si>
    <t>Return json containing detected skin concerns, allergies , and other relevant properties , to the front end.</t>
  </si>
  <si>
    <t>Expected MVP showcase</t>
  </si>
  <si>
    <t>Expected Skin concern detection showcase</t>
  </si>
  <si>
    <t>Return Frontend Response</t>
  </si>
  <si>
    <t xml:space="preserve">return response </t>
  </si>
  <si>
    <t>As a User</t>
  </si>
  <si>
    <t>I want to</t>
  </si>
  <si>
    <t>So that</t>
  </si>
  <si>
    <t>Logged in Customer</t>
  </si>
  <si>
    <t>I can view my reccomendation page with the following fields:
1. Hello "user_full_name"! 
2. Skin analysis results : Primary Concerns : only those detected through selfie
3. Reccomended for you : Active Ingredients: only those detected through selfie skin concerns.
4. Reccomended for you: Why this formula: explained by LLM for selected actives detected through selfie skin concerns</t>
  </si>
  <si>
    <r>
      <t xml:space="preserve">upload a poor quality picture of my skin 
and press on </t>
    </r>
    <r>
      <rPr>
        <b/>
        <sz val="11"/>
        <color theme="1"/>
        <rFont val="Calibri"/>
        <family val="2"/>
        <scheme val="minor"/>
      </rPr>
      <t>submit</t>
    </r>
    <r>
      <rPr>
        <sz val="11"/>
        <color theme="1"/>
        <rFont val="Calibri"/>
        <family val="2"/>
        <scheme val="minor"/>
      </rPr>
      <t xml:space="preserve"> button</t>
    </r>
  </si>
  <si>
    <r>
      <t xml:space="preserve">I am redirected to the selfie capture page with an error message saying :
</t>
    </r>
    <r>
      <rPr>
        <sz val="11"/>
        <color rgb="FFFF0000"/>
        <rFont val="Calibri"/>
        <family val="2"/>
        <scheme val="minor"/>
      </rPr>
      <t>"Your image is not valid. Take another image with better quality"</t>
    </r>
  </si>
  <si>
    <t>Tasks</t>
  </si>
  <si>
    <r>
      <t xml:space="preserve">upload an acceptable quality picture of my skin 
and press on </t>
    </r>
    <r>
      <rPr>
        <b/>
        <sz val="11"/>
        <color theme="1"/>
        <rFont val="Calibri"/>
        <family val="2"/>
        <scheme val="minor"/>
      </rPr>
      <t>submit</t>
    </r>
    <r>
      <rPr>
        <sz val="11"/>
        <color theme="1"/>
        <rFont val="Calibri"/>
        <family val="2"/>
        <scheme val="minor"/>
      </rPr>
      <t xml:space="preserve"> button</t>
    </r>
  </si>
  <si>
    <t>Identify User ID &amp; Session ID</t>
  </si>
  <si>
    <t>Product Backlog</t>
  </si>
  <si>
    <t xml:space="preserve">Acceptance Criteria </t>
  </si>
  <si>
    <r>
      <t xml:space="preserve">answer the provided questionnaire and press the </t>
    </r>
    <r>
      <rPr>
        <b/>
        <sz val="11"/>
        <color theme="1"/>
        <rFont val="Calibri"/>
        <family val="2"/>
        <scheme val="minor"/>
      </rPr>
      <t>submit</t>
    </r>
    <r>
      <rPr>
        <sz val="11"/>
        <color theme="1"/>
        <rFont val="Calibri"/>
        <family val="2"/>
        <scheme val="minor"/>
      </rPr>
      <t xml:space="preserve"> button</t>
    </r>
  </si>
  <si>
    <t>I can view my reccomendation page with the following fields:
1. Hello "user_full_name"! 
2. Skin analysis results : Primary Concerns :  those detected through the combination of skin concerns from both image and questionnaire.
3.Skin analysis results: Skin Type: detected through questionnaire answers.
4. Skin analysis results: Allergens: detected through questionnaire answers.
5. Skin analysis results: Sensitivity Level: detected through questionnaire input
6. Reccomended for you: Base :
selected through questionnaire answers.
7. Reccomended for you : Active Ingredients: those detected through selfie and questionnaire skin concerns.
8. Reccomended for you: Why this formula: explained by LLM for selected actives detected through selfie and questionnaire skin concerns</t>
  </si>
  <si>
    <t>Wireframe Reference</t>
  </si>
  <si>
    <t>1. Blurry image should be rejected.
2. A low lighting image should be rejected.
3. A low resolution image should be rejected
4. A combination of any/all of the above three should be rejected
4. A proper image should not be rejected</t>
  </si>
  <si>
    <t>I can view my reccomendation page with the following fields:
1. Hello "user_full_name"! 
2. Skin analysis results : Primary Concerns : only those detected through selfie.</t>
  </si>
  <si>
    <r>
      <t xml:space="preserve">1. Detected skin concerns should be from the series:
SC0001 - SC0019 &amp; SC1001 - SC1009
2. If no skin concern is detected (perfectly fit skin) then Skin analysis results should show the following message:
</t>
    </r>
    <r>
      <rPr>
        <sz val="11"/>
        <color rgb="FFFF0000"/>
        <rFont val="Calibri"/>
        <family val="2"/>
        <scheme val="minor"/>
      </rPr>
      <t xml:space="preserve">"Your skin looks perfect!".
</t>
    </r>
    <r>
      <rPr>
        <sz val="11"/>
        <color theme="1"/>
        <rFont val="Calibri"/>
        <family val="2"/>
        <scheme val="minor"/>
      </rPr>
      <t>3. If the image contains one or multiple particular skin concerns that should all be shown in the Skin analysis results: Primary Concerns.
4. No other skin concerns should be shown in the Skin analysis results: Primary Concerns other than the ones really existing in the images.</t>
    </r>
  </si>
  <si>
    <t>XS</t>
  </si>
  <si>
    <t>S</t>
  </si>
  <si>
    <t>M</t>
  </si>
  <si>
    <t>L</t>
  </si>
  <si>
    <t>XL</t>
  </si>
  <si>
    <t>XXL</t>
  </si>
  <si>
    <t>XXXL</t>
  </si>
  <si>
    <t xml:space="preserve">TSHIRT SIZING </t>
  </si>
  <si>
    <r>
      <t xml:space="preserve">press the </t>
    </r>
    <r>
      <rPr>
        <b/>
        <sz val="11"/>
        <color theme="1"/>
        <rFont val="Calibri"/>
        <family val="2"/>
        <scheme val="minor"/>
      </rPr>
      <t xml:space="preserve">add to cart 
</t>
    </r>
    <r>
      <rPr>
        <sz val="11"/>
        <color theme="1"/>
        <rFont val="Calibri"/>
        <family val="2"/>
        <scheme val="minor"/>
      </rPr>
      <t xml:space="preserve">button </t>
    </r>
  </si>
  <si>
    <t>todo/wip/done - states</t>
  </si>
  <si>
    <t xml:space="preserve">As a </t>
  </si>
  <si>
    <t>Difficulty</t>
  </si>
  <si>
    <t>Scale : 1-5</t>
  </si>
  <si>
    <t>Final Weightage</t>
  </si>
  <si>
    <t>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</si>
</sst>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 Unicode MS"/>
    </font>
    <font>
      <sz val="11"/>
      <color rgb="FFC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16" fontId="0" fillId="0" borderId="0" xfId="0" applyNumberFormat="1" applyAlignment="1">
      <alignment vertical="top" wrapText="1"/>
    </xf>
    <xf numFmtId="0" fontId="2" fillId="0" borderId="0" xfId="0" applyFont="1" applyAlignment="1">
      <alignment vertical="top" wrapText="1"/>
    </xf>
    <xf numFmtId="16" fontId="2" fillId="0" borderId="0" xfId="0" applyNumberFormat="1" applyFont="1" applyAlignment="1">
      <alignment vertical="top" wrapText="1"/>
    </xf>
    <xf numFmtId="0" fontId="0" fillId="3" borderId="1" xfId="0" applyFill="1" applyBorder="1" applyAlignment="1">
      <alignment vertical="top" wrapText="1"/>
    </xf>
    <xf numFmtId="16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6" fontId="3" fillId="3" borderId="1" xfId="0" applyNumberFormat="1" applyFont="1" applyFill="1" applyBorder="1" applyAlignment="1">
      <alignment vertical="top" wrapText="1"/>
    </xf>
    <xf numFmtId="0" fontId="0" fillId="4" borderId="0" xfId="0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3" borderId="1" xfId="0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6" borderId="0" xfId="0" applyFill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14" fontId="0" fillId="3" borderId="0" xfId="0" applyNumberFormat="1" applyFill="1" applyAlignment="1">
      <alignment horizontal="center" vertical="center"/>
    </xf>
    <xf numFmtId="18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wrapText="1"/>
    </xf>
    <xf numFmtId="16" fontId="0" fillId="3" borderId="0" xfId="0" applyNumberFormat="1" applyFill="1" applyAlignment="1">
      <alignment horizontal="center"/>
    </xf>
    <xf numFmtId="18" fontId="0" fillId="3" borderId="0" xfId="0" applyNumberForma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/>
    </xf>
    <xf numFmtId="0" fontId="0" fillId="7" borderId="0" xfId="0" applyFill="1" applyAlignment="1">
      <alignment horizontal="center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7" borderId="0" xfId="0" applyFill="1"/>
    <xf numFmtId="14" fontId="0" fillId="7" borderId="0" xfId="0" applyNumberFormat="1" applyFill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2" fillId="6" borderId="1" xfId="0" applyFont="1" applyFill="1" applyBorder="1" applyAlignment="1">
      <alignment horizontal="left"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left" wrapText="1"/>
    </xf>
    <xf numFmtId="0" fontId="0" fillId="7" borderId="4" xfId="0" applyFill="1" applyBorder="1" applyAlignment="1">
      <alignment horizontal="left" wrapText="1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14" fontId="1" fillId="8" borderId="0" xfId="0" applyNumberFormat="1" applyFont="1" applyFill="1" applyAlignment="1">
      <alignment horizontal="center" vertical="center"/>
    </xf>
    <xf numFmtId="0" fontId="1" fillId="8" borderId="4" xfId="0" applyFont="1" applyFill="1" applyBorder="1" applyAlignment="1">
      <alignment horizontal="left" wrapText="1"/>
    </xf>
    <xf numFmtId="0" fontId="1" fillId="8" borderId="0" xfId="0" applyFont="1" applyFill="1"/>
    <xf numFmtId="0" fontId="1" fillId="8" borderId="5" xfId="0" applyFont="1" applyFill="1" applyBorder="1" applyAlignment="1">
      <alignment horizontal="left" wrapText="1"/>
    </xf>
    <xf numFmtId="0" fontId="1" fillId="9" borderId="0" xfId="0" applyFont="1" applyFill="1"/>
    <xf numFmtId="0" fontId="1" fillId="9" borderId="0" xfId="0" applyFont="1" applyFill="1" applyAlignment="1">
      <alignment vertical="center"/>
    </xf>
    <xf numFmtId="0" fontId="1" fillId="9" borderId="1" xfId="0" applyFont="1" applyFill="1" applyBorder="1" applyAlignment="1">
      <alignment horizontal="left" wrapText="1"/>
    </xf>
    <xf numFmtId="0" fontId="1" fillId="10" borderId="0" xfId="0" applyFont="1" applyFill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0" xfId="0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/>
    </xf>
    <xf numFmtId="16" fontId="0" fillId="0" borderId="0" xfId="0" applyNumberFormat="1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5" xfId="0" applyBorder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0" fontId="1" fillId="10" borderId="0" xfId="0" applyFont="1" applyFill="1" applyAlignment="1"/>
    <xf numFmtId="0" fontId="0" fillId="10" borderId="0" xfId="0" applyFill="1" applyAlignment="1"/>
    <xf numFmtId="14" fontId="0" fillId="0" borderId="0" xfId="0" applyNumberFormat="1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/>
    </xf>
    <xf numFmtId="0" fontId="0" fillId="12" borderId="1" xfId="0" applyFill="1" applyBorder="1" applyAlignment="1">
      <alignment horizontal="center"/>
    </xf>
    <xf numFmtId="0" fontId="0" fillId="0" borderId="1" xfId="0" applyBorder="1"/>
    <xf numFmtId="0" fontId="0" fillId="10" borderId="1" xfId="0" applyFill="1" applyBorder="1"/>
    <xf numFmtId="0" fontId="0" fillId="11" borderId="1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topLeftCell="A7" zoomScaleNormal="100" workbookViewId="0">
      <selection activeCell="J1" sqref="J1"/>
    </sheetView>
  </sheetViews>
  <sheetFormatPr defaultColWidth="9.109375" defaultRowHeight="14.4"/>
  <cols>
    <col min="1" max="1" width="9.109375" style="1"/>
    <col min="2" max="2" width="3.5546875" style="1" bestFit="1" customWidth="1"/>
    <col min="3" max="3" width="44" style="1" customWidth="1"/>
    <col min="4" max="4" width="10.5546875" style="1" bestFit="1" customWidth="1"/>
    <col min="5" max="5" width="8.88671875" style="1" bestFit="1" customWidth="1"/>
    <col min="6" max="6" width="54.21875" style="1" customWidth="1"/>
    <col min="7" max="16384" width="9.109375" style="1"/>
  </cols>
  <sheetData>
    <row r="1" spans="1:7" ht="28.8">
      <c r="A1" s="2" t="s">
        <v>8</v>
      </c>
      <c r="B1" s="2" t="s">
        <v>10</v>
      </c>
      <c r="C1" s="2" t="s">
        <v>5</v>
      </c>
      <c r="D1" s="2" t="s">
        <v>6</v>
      </c>
      <c r="E1" s="2" t="s">
        <v>2</v>
      </c>
      <c r="F1" s="2" t="s">
        <v>7</v>
      </c>
      <c r="G1" s="2" t="s">
        <v>14</v>
      </c>
    </row>
    <row r="2" spans="1:7" ht="28.8">
      <c r="A2" s="1" t="s">
        <v>9</v>
      </c>
      <c r="B2" s="1">
        <v>1</v>
      </c>
      <c r="C2" s="1" t="s">
        <v>0</v>
      </c>
      <c r="D2" s="1" t="s">
        <v>1</v>
      </c>
      <c r="E2" s="3">
        <v>46240</v>
      </c>
      <c r="G2" s="3">
        <v>46245</v>
      </c>
    </row>
    <row r="3" spans="1:7" ht="57.6">
      <c r="B3" s="1">
        <v>2</v>
      </c>
      <c r="C3" s="1" t="s">
        <v>33</v>
      </c>
      <c r="D3" s="1" t="s">
        <v>1</v>
      </c>
      <c r="E3" s="3">
        <v>46244</v>
      </c>
      <c r="F3" s="1" t="s">
        <v>3</v>
      </c>
      <c r="G3" s="3">
        <v>46245</v>
      </c>
    </row>
    <row r="4" spans="1:7" ht="28.8">
      <c r="B4" s="1">
        <v>3</v>
      </c>
      <c r="C4" s="1" t="s">
        <v>17</v>
      </c>
      <c r="D4" s="1" t="s">
        <v>31</v>
      </c>
      <c r="E4" s="3">
        <v>46240</v>
      </c>
      <c r="G4" s="3">
        <v>46248</v>
      </c>
    </row>
    <row r="5" spans="1:7" ht="28.8">
      <c r="B5" s="1">
        <v>4</v>
      </c>
      <c r="C5" s="1" t="s">
        <v>11</v>
      </c>
      <c r="D5" s="1" t="s">
        <v>31</v>
      </c>
      <c r="E5" s="3">
        <v>46240</v>
      </c>
      <c r="G5" s="3">
        <v>46248</v>
      </c>
    </row>
    <row r="6" spans="1:7" ht="28.8">
      <c r="B6" s="1">
        <v>5</v>
      </c>
      <c r="C6" s="1" t="s">
        <v>12</v>
      </c>
      <c r="D6" s="1" t="s">
        <v>31</v>
      </c>
      <c r="E6" s="3">
        <v>46240</v>
      </c>
      <c r="G6" s="3">
        <v>46248</v>
      </c>
    </row>
    <row r="7" spans="1:7" ht="28.8">
      <c r="B7" s="1">
        <v>6</v>
      </c>
      <c r="C7" s="1" t="s">
        <v>13</v>
      </c>
      <c r="D7" s="1" t="s">
        <v>31</v>
      </c>
      <c r="E7" s="3">
        <v>46240</v>
      </c>
      <c r="G7" s="3">
        <v>46262</v>
      </c>
    </row>
    <row r="8" spans="1:7" ht="28.8">
      <c r="B8" s="1">
        <v>7</v>
      </c>
      <c r="C8" s="1" t="s">
        <v>32</v>
      </c>
      <c r="D8" s="1" t="s">
        <v>31</v>
      </c>
      <c r="E8" s="3">
        <v>46240</v>
      </c>
      <c r="G8" s="3">
        <v>46262</v>
      </c>
    </row>
    <row r="9" spans="1:7" ht="28.8">
      <c r="A9" s="1" t="s">
        <v>4</v>
      </c>
      <c r="B9" s="1">
        <v>8</v>
      </c>
      <c r="C9" s="1" t="s">
        <v>15</v>
      </c>
      <c r="D9" s="1" t="s">
        <v>30</v>
      </c>
      <c r="E9" s="3">
        <v>46240</v>
      </c>
      <c r="F9" s="1" t="s">
        <v>16</v>
      </c>
      <c r="G9" s="3">
        <v>46248</v>
      </c>
    </row>
    <row r="10" spans="1:7" s="10" customFormat="1" ht="28.8">
      <c r="A10" s="6"/>
      <c r="B10" s="6">
        <v>9</v>
      </c>
      <c r="C10" s="6" t="s">
        <v>34</v>
      </c>
      <c r="D10" s="6"/>
      <c r="E10" s="7"/>
      <c r="F10" s="6" t="s">
        <v>35</v>
      </c>
      <c r="G10" s="7"/>
    </row>
    <row r="11" spans="1:7" ht="43.2">
      <c r="B11" s="1">
        <v>10</v>
      </c>
      <c r="C11" s="1" t="s">
        <v>18</v>
      </c>
      <c r="D11" s="1" t="s">
        <v>30</v>
      </c>
      <c r="E11" s="3">
        <v>46240</v>
      </c>
      <c r="F11" s="1" t="s">
        <v>19</v>
      </c>
      <c r="G11" s="3">
        <v>46248</v>
      </c>
    </row>
    <row r="12" spans="1:7" s="4" customFormat="1" ht="28.8">
      <c r="B12" s="4">
        <v>10</v>
      </c>
      <c r="C12" s="4" t="s">
        <v>20</v>
      </c>
      <c r="D12" s="4" t="s">
        <v>30</v>
      </c>
      <c r="E12" s="5">
        <v>46240</v>
      </c>
      <c r="F12" s="4" t="s">
        <v>21</v>
      </c>
      <c r="G12" s="5">
        <v>46248</v>
      </c>
    </row>
    <row r="13" spans="1:7" s="10" customFormat="1">
      <c r="A13" s="6"/>
      <c r="B13" s="6">
        <v>11</v>
      </c>
      <c r="C13" s="6" t="s">
        <v>36</v>
      </c>
      <c r="D13" s="6"/>
      <c r="E13" s="7"/>
      <c r="F13" s="6"/>
      <c r="G13" s="7"/>
    </row>
    <row r="14" spans="1:7" s="4" customFormat="1" ht="57.6">
      <c r="B14" s="4">
        <v>11</v>
      </c>
      <c r="C14" s="4" t="s">
        <v>22</v>
      </c>
      <c r="D14" s="4" t="s">
        <v>30</v>
      </c>
      <c r="E14" s="5">
        <v>46240</v>
      </c>
      <c r="F14" s="4" t="s">
        <v>23</v>
      </c>
      <c r="G14" s="5">
        <v>46248</v>
      </c>
    </row>
    <row r="15" spans="1:7" s="11" customFormat="1" ht="28.8">
      <c r="A15" s="8"/>
      <c r="B15" s="8">
        <v>12</v>
      </c>
      <c r="C15" s="8" t="s">
        <v>39</v>
      </c>
      <c r="D15" s="8"/>
      <c r="E15" s="9"/>
      <c r="F15" s="8"/>
      <c r="G15" s="9"/>
    </row>
    <row r="16" spans="1:7" ht="28.8">
      <c r="B16" s="1">
        <v>13</v>
      </c>
      <c r="C16" s="1" t="s">
        <v>41</v>
      </c>
      <c r="D16" s="1" t="s">
        <v>30</v>
      </c>
      <c r="E16" s="3">
        <v>46246</v>
      </c>
      <c r="G16" s="3">
        <v>46252</v>
      </c>
    </row>
    <row r="17" spans="1:7" s="4" customFormat="1" ht="28.8">
      <c r="B17" s="4">
        <v>13</v>
      </c>
      <c r="C17" s="4" t="s">
        <v>24</v>
      </c>
      <c r="D17" s="4" t="s">
        <v>30</v>
      </c>
      <c r="E17" s="5">
        <v>46251</v>
      </c>
      <c r="F17" s="4" t="s">
        <v>25</v>
      </c>
      <c r="G17" s="5">
        <v>46255</v>
      </c>
    </row>
    <row r="18" spans="1:7" s="10" customFormat="1" ht="72">
      <c r="A18" s="6"/>
      <c r="B18" s="6">
        <v>14</v>
      </c>
      <c r="C18" s="6" t="s">
        <v>37</v>
      </c>
      <c r="D18" s="6"/>
      <c r="E18" s="7"/>
      <c r="F18" s="6" t="s">
        <v>42</v>
      </c>
      <c r="G18" s="7"/>
    </row>
    <row r="19" spans="1:7" s="10" customFormat="1" ht="28.8">
      <c r="A19" s="6"/>
      <c r="B19" s="6">
        <v>15</v>
      </c>
      <c r="C19" s="6" t="s">
        <v>38</v>
      </c>
      <c r="D19" s="6"/>
      <c r="E19" s="7"/>
      <c r="F19" s="6" t="s">
        <v>40</v>
      </c>
      <c r="G19" s="7"/>
    </row>
    <row r="20" spans="1:7" s="4" customFormat="1" ht="28.8">
      <c r="B20" s="4">
        <v>14</v>
      </c>
      <c r="C20" s="4" t="s">
        <v>26</v>
      </c>
      <c r="D20" s="4" t="s">
        <v>30</v>
      </c>
      <c r="E20" s="5">
        <v>46251</v>
      </c>
      <c r="F20" s="4" t="s">
        <v>25</v>
      </c>
      <c r="G20" s="5">
        <v>46255</v>
      </c>
    </row>
    <row r="21" spans="1:7" s="4" customFormat="1" ht="28.8">
      <c r="A21" s="6"/>
      <c r="B21" s="6">
        <v>16</v>
      </c>
      <c r="C21" s="6" t="s">
        <v>43</v>
      </c>
      <c r="D21" s="6"/>
      <c r="E21" s="7"/>
      <c r="F21" s="6" t="s">
        <v>44</v>
      </c>
      <c r="G21" s="7"/>
    </row>
    <row r="22" spans="1:7" s="4" customFormat="1" ht="28.8">
      <c r="B22" s="4">
        <v>15</v>
      </c>
      <c r="C22" s="4" t="s">
        <v>27</v>
      </c>
      <c r="D22" s="4" t="s">
        <v>30</v>
      </c>
      <c r="E22" s="5">
        <v>46251</v>
      </c>
      <c r="F22" s="4" t="s">
        <v>25</v>
      </c>
      <c r="G22" s="5">
        <v>46255</v>
      </c>
    </row>
    <row r="23" spans="1:7" s="4" customFormat="1" ht="28.8">
      <c r="B23" s="4">
        <v>16</v>
      </c>
      <c r="C23" s="4" t="s">
        <v>28</v>
      </c>
      <c r="D23" s="4" t="s">
        <v>30</v>
      </c>
      <c r="E23" s="5">
        <v>46258</v>
      </c>
      <c r="F23" s="4" t="s">
        <v>25</v>
      </c>
      <c r="G23" s="5">
        <v>46262</v>
      </c>
    </row>
    <row r="24" spans="1:7" s="4" customFormat="1">
      <c r="A24" s="6"/>
      <c r="B24" s="6">
        <v>17</v>
      </c>
      <c r="C24" s="6" t="s">
        <v>45</v>
      </c>
      <c r="D24" s="6"/>
      <c r="E24" s="7"/>
      <c r="F24" s="12" t="s">
        <v>46</v>
      </c>
      <c r="G24" s="7"/>
    </row>
    <row r="25" spans="1:7" ht="28.8">
      <c r="B25" s="1">
        <v>18</v>
      </c>
      <c r="C25" s="1" t="s">
        <v>29</v>
      </c>
      <c r="D25" s="1" t="s">
        <v>30</v>
      </c>
      <c r="E25" s="3">
        <v>46258</v>
      </c>
      <c r="F25" s="10" t="s">
        <v>25</v>
      </c>
      <c r="G25" s="3">
        <v>46262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8C61C-1A55-4D93-BE97-335A9CE60726}">
  <dimension ref="A1:L31"/>
  <sheetViews>
    <sheetView zoomScaleNormal="100" workbookViewId="0">
      <selection activeCell="E15" sqref="E15"/>
    </sheetView>
  </sheetViews>
  <sheetFormatPr defaultRowHeight="14.4"/>
  <cols>
    <col min="1" max="1" width="10.77734375" customWidth="1"/>
    <col min="2" max="2" width="10.77734375" style="14" customWidth="1"/>
    <col min="3" max="3" width="15.109375" customWidth="1"/>
    <col min="4" max="4" width="21.44140625" style="13" customWidth="1"/>
    <col min="5" max="5" width="33.33203125" style="13" customWidth="1"/>
    <col min="6" max="6" width="11.77734375" customWidth="1"/>
    <col min="7" max="8" width="11.44140625" customWidth="1"/>
    <col min="9" max="9" width="25.6640625" customWidth="1"/>
    <col min="10" max="10" width="12.21875" customWidth="1"/>
    <col min="12" max="12" width="22.77734375" customWidth="1"/>
  </cols>
  <sheetData>
    <row r="1" spans="1:12">
      <c r="A1" s="62" t="s">
        <v>69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>
      <c r="A2" s="15" t="s">
        <v>79</v>
      </c>
      <c r="B2" s="16" t="s">
        <v>67</v>
      </c>
      <c r="C2" s="15" t="s">
        <v>78</v>
      </c>
      <c r="D2" s="17" t="s">
        <v>5</v>
      </c>
      <c r="E2" s="17" t="s">
        <v>47</v>
      </c>
      <c r="F2" s="15" t="s">
        <v>82</v>
      </c>
      <c r="G2" s="15" t="s">
        <v>83</v>
      </c>
      <c r="H2" s="15" t="s">
        <v>93</v>
      </c>
      <c r="I2" s="15" t="s">
        <v>68</v>
      </c>
      <c r="J2" s="15" t="s">
        <v>70</v>
      </c>
      <c r="K2" s="15" t="s">
        <v>86</v>
      </c>
      <c r="L2" s="15" t="s">
        <v>97</v>
      </c>
    </row>
    <row r="3" spans="1:12" ht="58.8" customHeight="1">
      <c r="A3" s="58">
        <v>1</v>
      </c>
      <c r="B3" s="58">
        <v>1</v>
      </c>
      <c r="C3">
        <v>1.1000000000000001</v>
      </c>
      <c r="D3" s="13" t="s">
        <v>48</v>
      </c>
      <c r="E3" s="13" t="s">
        <v>49</v>
      </c>
      <c r="F3" s="57">
        <v>46252</v>
      </c>
      <c r="G3" s="58" t="s">
        <v>94</v>
      </c>
      <c r="H3" s="57">
        <v>46259</v>
      </c>
      <c r="I3" s="58" t="s">
        <v>88</v>
      </c>
      <c r="J3" s="58" t="s">
        <v>99</v>
      </c>
    </row>
    <row r="4" spans="1:12" ht="54.6" customHeight="1">
      <c r="A4" s="58"/>
      <c r="B4" s="58"/>
      <c r="C4">
        <v>1.2</v>
      </c>
      <c r="D4" s="13" t="s">
        <v>48</v>
      </c>
      <c r="E4" s="13" t="s">
        <v>50</v>
      </c>
      <c r="F4" s="57"/>
      <c r="G4" s="58"/>
      <c r="H4" s="58"/>
      <c r="I4" s="58"/>
      <c r="J4" s="58"/>
    </row>
    <row r="5" spans="1:12" ht="33.6" customHeight="1">
      <c r="A5" s="58"/>
      <c r="B5" s="58"/>
      <c r="C5">
        <v>1.3</v>
      </c>
      <c r="D5" s="13" t="s">
        <v>48</v>
      </c>
      <c r="E5" s="13" t="s">
        <v>51</v>
      </c>
      <c r="F5" s="57"/>
      <c r="G5" s="58"/>
      <c r="H5" s="58"/>
      <c r="I5" s="58"/>
      <c r="J5" s="58"/>
    </row>
    <row r="6" spans="1:12" ht="26.4" customHeight="1">
      <c r="A6" s="58"/>
      <c r="B6" s="58"/>
      <c r="C6">
        <v>1.4</v>
      </c>
      <c r="D6" s="13" t="s">
        <v>48</v>
      </c>
      <c r="E6" s="13" t="s">
        <v>52</v>
      </c>
      <c r="F6" s="57"/>
      <c r="G6" s="58"/>
      <c r="H6" s="58"/>
      <c r="I6" s="58"/>
      <c r="J6" s="58"/>
    </row>
    <row r="7" spans="1:12" ht="72.599999999999994" customHeight="1">
      <c r="A7" s="58"/>
      <c r="B7" s="58"/>
      <c r="C7">
        <v>1.5</v>
      </c>
      <c r="D7" s="13" t="s">
        <v>48</v>
      </c>
      <c r="E7" s="13" t="s">
        <v>53</v>
      </c>
      <c r="F7" s="57"/>
      <c r="G7" s="58"/>
      <c r="H7" s="58"/>
      <c r="I7" s="58"/>
      <c r="J7" s="58"/>
    </row>
    <row r="8" spans="1:12" ht="28.8">
      <c r="A8" s="58"/>
      <c r="B8" s="58">
        <v>2</v>
      </c>
      <c r="C8">
        <v>2.1</v>
      </c>
      <c r="D8" s="13" t="s">
        <v>54</v>
      </c>
      <c r="E8" s="13" t="s">
        <v>55</v>
      </c>
      <c r="F8" s="57">
        <v>46252</v>
      </c>
      <c r="G8" s="58" t="s">
        <v>90</v>
      </c>
      <c r="H8" s="57">
        <v>46258</v>
      </c>
      <c r="I8" s="58" t="s">
        <v>89</v>
      </c>
      <c r="J8" s="58"/>
    </row>
    <row r="9" spans="1:12" ht="28.8">
      <c r="A9" s="58"/>
      <c r="B9" s="58"/>
      <c r="C9">
        <v>2.2000000000000002</v>
      </c>
      <c r="D9" s="13" t="s">
        <v>54</v>
      </c>
      <c r="E9" s="13" t="s">
        <v>85</v>
      </c>
      <c r="F9" s="57"/>
      <c r="G9" s="58"/>
      <c r="H9" s="57"/>
      <c r="I9" s="58"/>
      <c r="J9" s="58"/>
    </row>
    <row r="10" spans="1:12" ht="43.2">
      <c r="A10" s="58"/>
      <c r="B10" s="58"/>
      <c r="C10">
        <v>2.2999999999999998</v>
      </c>
      <c r="D10" s="13" t="s">
        <v>54</v>
      </c>
      <c r="E10" s="13" t="s">
        <v>87</v>
      </c>
      <c r="F10" s="57"/>
      <c r="G10" s="58"/>
      <c r="H10" s="57"/>
      <c r="I10" s="58"/>
      <c r="J10" s="58"/>
    </row>
    <row r="11" spans="1:12" ht="28.8">
      <c r="A11" s="58"/>
      <c r="B11" s="58">
        <v>3</v>
      </c>
      <c r="C11">
        <v>3.1</v>
      </c>
      <c r="D11" s="13" t="s">
        <v>56</v>
      </c>
      <c r="E11" s="13" t="s">
        <v>84</v>
      </c>
      <c r="F11" s="57"/>
      <c r="G11" s="58"/>
      <c r="H11" s="57"/>
      <c r="I11" s="58"/>
      <c r="J11" s="58"/>
    </row>
    <row r="12" spans="1:12" ht="28.8">
      <c r="A12" s="58"/>
      <c r="B12" s="58"/>
      <c r="C12">
        <v>3.2</v>
      </c>
      <c r="D12" s="13" t="s">
        <v>56</v>
      </c>
      <c r="E12" s="13" t="s">
        <v>57</v>
      </c>
      <c r="F12" s="22">
        <v>46255</v>
      </c>
      <c r="G12" s="14" t="s">
        <v>92</v>
      </c>
      <c r="H12" s="22">
        <v>46259</v>
      </c>
      <c r="I12" s="14" t="s">
        <v>91</v>
      </c>
      <c r="J12" s="58"/>
    </row>
    <row r="13" spans="1:12" ht="28.8">
      <c r="A13" s="58"/>
      <c r="B13" s="58">
        <v>4</v>
      </c>
      <c r="C13">
        <v>4.0999999999999996</v>
      </c>
      <c r="D13" s="13" t="s">
        <v>58</v>
      </c>
      <c r="E13" s="13" t="s">
        <v>84</v>
      </c>
      <c r="F13" s="22">
        <v>46252</v>
      </c>
      <c r="G13" s="14" t="s">
        <v>90</v>
      </c>
      <c r="H13" s="22">
        <v>46258</v>
      </c>
      <c r="I13" s="14" t="s">
        <v>89</v>
      </c>
      <c r="J13" s="58"/>
    </row>
    <row r="14" spans="1:12" ht="28.8">
      <c r="A14" s="58"/>
      <c r="B14" s="58"/>
      <c r="C14">
        <v>4.2</v>
      </c>
      <c r="D14" s="13" t="s">
        <v>58</v>
      </c>
      <c r="E14" s="13" t="s">
        <v>57</v>
      </c>
      <c r="F14" s="22">
        <v>46255</v>
      </c>
      <c r="G14" s="14" t="s">
        <v>92</v>
      </c>
      <c r="H14" s="22">
        <v>46259</v>
      </c>
      <c r="I14" s="14" t="s">
        <v>91</v>
      </c>
      <c r="J14" s="58"/>
    </row>
    <row r="15" spans="1:12" ht="28.8">
      <c r="A15" s="58"/>
      <c r="B15" s="14">
        <v>9</v>
      </c>
      <c r="C15">
        <v>9.4</v>
      </c>
      <c r="D15" s="13" t="s">
        <v>29</v>
      </c>
      <c r="E15" s="13" t="s">
        <v>77</v>
      </c>
      <c r="F15" s="57" t="s">
        <v>96</v>
      </c>
      <c r="G15" s="57"/>
      <c r="H15" s="57"/>
      <c r="I15" s="14" t="s">
        <v>1</v>
      </c>
      <c r="J15" s="58"/>
      <c r="L15" t="s">
        <v>98</v>
      </c>
    </row>
    <row r="16" spans="1:12">
      <c r="A16" s="23"/>
      <c r="B16" s="24"/>
      <c r="C16" s="25"/>
      <c r="D16" s="64" t="s">
        <v>95</v>
      </c>
      <c r="E16" s="64"/>
      <c r="F16" s="26">
        <v>46198</v>
      </c>
      <c r="G16" s="27">
        <v>0.625</v>
      </c>
      <c r="H16" s="26"/>
      <c r="I16" s="24"/>
    </row>
    <row r="17" spans="1:9" ht="86.4">
      <c r="A17" s="58">
        <v>2</v>
      </c>
      <c r="B17" s="58">
        <v>5</v>
      </c>
      <c r="C17">
        <v>5.0999999999999996</v>
      </c>
      <c r="D17" s="13" t="s">
        <v>59</v>
      </c>
      <c r="E17" s="13" t="s">
        <v>60</v>
      </c>
      <c r="F17" s="21">
        <v>46260</v>
      </c>
      <c r="G17" s="61" t="s">
        <v>100</v>
      </c>
      <c r="H17" s="60">
        <v>46262</v>
      </c>
      <c r="I17" s="61" t="s">
        <v>89</v>
      </c>
    </row>
    <row r="18" spans="1:9" ht="28.8">
      <c r="A18" s="58"/>
      <c r="B18" s="58"/>
      <c r="C18">
        <v>5.2</v>
      </c>
      <c r="D18" s="13" t="s">
        <v>59</v>
      </c>
      <c r="E18" s="13" t="s">
        <v>61</v>
      </c>
      <c r="G18" s="61"/>
      <c r="H18" s="61"/>
      <c r="I18" s="61"/>
    </row>
    <row r="19" spans="1:9" ht="86.4">
      <c r="A19" s="58"/>
      <c r="B19" s="58">
        <v>6</v>
      </c>
      <c r="C19">
        <v>6.1</v>
      </c>
      <c r="D19" s="13" t="s">
        <v>37</v>
      </c>
      <c r="E19" s="13" t="s">
        <v>103</v>
      </c>
      <c r="F19" s="60">
        <v>46260</v>
      </c>
      <c r="G19" s="61" t="s">
        <v>94</v>
      </c>
      <c r="H19" s="60">
        <v>46267</v>
      </c>
      <c r="I19" s="61" t="s">
        <v>101</v>
      </c>
    </row>
    <row r="20" spans="1:9" ht="28.8">
      <c r="A20" s="58"/>
      <c r="B20" s="58"/>
      <c r="C20">
        <v>6.2</v>
      </c>
      <c r="D20" s="13" t="s">
        <v>37</v>
      </c>
      <c r="E20" s="13" t="s">
        <v>62</v>
      </c>
      <c r="F20" s="61"/>
      <c r="G20" s="61"/>
      <c r="H20" s="61"/>
      <c r="I20" s="61"/>
    </row>
    <row r="21" spans="1:9" ht="43.8" customHeight="1">
      <c r="A21" s="58"/>
      <c r="B21" s="58"/>
      <c r="C21" s="18">
        <v>6.3</v>
      </c>
      <c r="D21" s="19" t="s">
        <v>80</v>
      </c>
      <c r="E21" s="20" t="s">
        <v>81</v>
      </c>
      <c r="F21" s="61"/>
      <c r="G21" s="61"/>
      <c r="H21" s="61"/>
      <c r="I21" s="61"/>
    </row>
    <row r="22" spans="1:9" ht="28.8">
      <c r="A22" s="58"/>
      <c r="B22" s="58"/>
      <c r="C22">
        <v>6.4</v>
      </c>
      <c r="D22" s="13" t="s">
        <v>37</v>
      </c>
      <c r="E22" s="13" t="s">
        <v>63</v>
      </c>
      <c r="F22" s="61"/>
      <c r="G22" s="61"/>
      <c r="H22" s="61"/>
      <c r="I22" s="61"/>
    </row>
    <row r="23" spans="1:9" ht="28.8">
      <c r="A23" s="58"/>
      <c r="B23" s="58">
        <v>7</v>
      </c>
      <c r="C23">
        <v>7.1</v>
      </c>
      <c r="D23" s="13" t="s">
        <v>64</v>
      </c>
      <c r="E23" s="13" t="s">
        <v>65</v>
      </c>
      <c r="F23" s="60">
        <v>46260</v>
      </c>
      <c r="G23" s="61" t="s">
        <v>94</v>
      </c>
      <c r="H23" s="60">
        <v>46267</v>
      </c>
      <c r="I23" s="61" t="s">
        <v>91</v>
      </c>
    </row>
    <row r="24" spans="1:9">
      <c r="A24" s="58"/>
      <c r="B24" s="58"/>
      <c r="C24">
        <v>7.2</v>
      </c>
      <c r="D24" s="13" t="s">
        <v>64</v>
      </c>
      <c r="E24" s="13" t="s">
        <v>66</v>
      </c>
      <c r="F24" s="61"/>
      <c r="G24" s="61"/>
      <c r="H24" s="61"/>
      <c r="I24" s="61"/>
    </row>
    <row r="25" spans="1:9" ht="43.2">
      <c r="A25" s="58"/>
      <c r="B25" s="58">
        <v>8</v>
      </c>
      <c r="C25">
        <v>8.1</v>
      </c>
      <c r="D25" s="13" t="s">
        <v>71</v>
      </c>
      <c r="E25" s="13" t="s">
        <v>72</v>
      </c>
      <c r="F25" s="63">
        <v>46260</v>
      </c>
      <c r="G25" s="61" t="s">
        <v>94</v>
      </c>
      <c r="H25" s="60">
        <v>46267</v>
      </c>
      <c r="I25" s="61" t="s">
        <v>102</v>
      </c>
    </row>
    <row r="26" spans="1:9" ht="28.8">
      <c r="A26" s="58"/>
      <c r="B26" s="58"/>
      <c r="C26">
        <v>8.1999999999999993</v>
      </c>
      <c r="D26" s="13" t="s">
        <v>71</v>
      </c>
      <c r="E26" s="13" t="s">
        <v>73</v>
      </c>
      <c r="F26" s="63"/>
      <c r="G26" s="61"/>
      <c r="H26" s="61"/>
      <c r="I26" s="61"/>
    </row>
    <row r="27" spans="1:9">
      <c r="A27" s="24"/>
      <c r="B27" s="24"/>
      <c r="C27" s="25"/>
      <c r="D27" s="28"/>
      <c r="E27" s="28" t="s">
        <v>95</v>
      </c>
      <c r="F27" s="29">
        <v>46266</v>
      </c>
      <c r="G27" s="30">
        <v>0.625</v>
      </c>
      <c r="H27" s="23"/>
      <c r="I27" s="23"/>
    </row>
    <row r="28" spans="1:9" ht="43.2">
      <c r="A28" s="58">
        <v>3</v>
      </c>
      <c r="B28" s="58">
        <v>9</v>
      </c>
      <c r="C28">
        <v>9.1</v>
      </c>
      <c r="D28" s="13" t="s">
        <v>29</v>
      </c>
      <c r="E28" s="13" t="s">
        <v>74</v>
      </c>
      <c r="F28" s="60">
        <v>46268</v>
      </c>
      <c r="G28" s="61" t="s">
        <v>94</v>
      </c>
      <c r="H28" s="60">
        <v>46275</v>
      </c>
      <c r="I28" s="61" t="s">
        <v>96</v>
      </c>
    </row>
    <row r="29" spans="1:9" ht="28.8">
      <c r="A29" s="58"/>
      <c r="B29" s="58"/>
      <c r="C29">
        <v>9.1999999999999993</v>
      </c>
      <c r="D29" s="13" t="s">
        <v>29</v>
      </c>
      <c r="E29" s="13" t="s">
        <v>75</v>
      </c>
      <c r="F29" s="60"/>
      <c r="G29" s="61"/>
      <c r="H29" s="60"/>
      <c r="I29" s="61"/>
    </row>
    <row r="30" spans="1:9" ht="28.8">
      <c r="A30" s="58"/>
      <c r="B30" s="58"/>
      <c r="C30">
        <v>9.3000000000000007</v>
      </c>
      <c r="D30" s="13" t="s">
        <v>29</v>
      </c>
      <c r="E30" s="13" t="s">
        <v>76</v>
      </c>
      <c r="F30" s="60"/>
      <c r="G30" s="61"/>
      <c r="H30" s="60"/>
      <c r="I30" s="61"/>
    </row>
    <row r="31" spans="1:9">
      <c r="A31" s="58"/>
      <c r="B31" s="58"/>
    </row>
  </sheetData>
  <mergeCells count="43">
    <mergeCell ref="I25:I26"/>
    <mergeCell ref="I17:I18"/>
    <mergeCell ref="G19:G22"/>
    <mergeCell ref="H19:H22"/>
    <mergeCell ref="I28:I30"/>
    <mergeCell ref="I23:I24"/>
    <mergeCell ref="I19:I22"/>
    <mergeCell ref="H17:H18"/>
    <mergeCell ref="A17:A26"/>
    <mergeCell ref="A28:A31"/>
    <mergeCell ref="F28:F30"/>
    <mergeCell ref="H28:H30"/>
    <mergeCell ref="G28:G30"/>
    <mergeCell ref="F23:F24"/>
    <mergeCell ref="G23:G24"/>
    <mergeCell ref="H23:H24"/>
    <mergeCell ref="F25:F26"/>
    <mergeCell ref="G25:G26"/>
    <mergeCell ref="H25:H26"/>
    <mergeCell ref="G17:G18"/>
    <mergeCell ref="A1:L1"/>
    <mergeCell ref="J3:J15"/>
    <mergeCell ref="H3:H7"/>
    <mergeCell ref="F8:F11"/>
    <mergeCell ref="G8:G11"/>
    <mergeCell ref="H8:H11"/>
    <mergeCell ref="I8:I11"/>
    <mergeCell ref="I3:I7"/>
    <mergeCell ref="G3:G7"/>
    <mergeCell ref="A3:A15"/>
    <mergeCell ref="F3:F7"/>
    <mergeCell ref="F15:H15"/>
    <mergeCell ref="F19:F22"/>
    <mergeCell ref="B23:B24"/>
    <mergeCell ref="B25:B26"/>
    <mergeCell ref="B28:B31"/>
    <mergeCell ref="B3:B7"/>
    <mergeCell ref="B8:B10"/>
    <mergeCell ref="B11:B12"/>
    <mergeCell ref="B13:B14"/>
    <mergeCell ref="B17:B18"/>
    <mergeCell ref="B19:B22"/>
    <mergeCell ref="D16:E1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7794A-BDEC-4305-8F7F-332456871660}">
  <dimension ref="A1:N42"/>
  <sheetViews>
    <sheetView topLeftCell="E1" zoomScale="93" workbookViewId="0">
      <selection activeCell="N9" sqref="N9"/>
    </sheetView>
  </sheetViews>
  <sheetFormatPr defaultRowHeight="14.4"/>
  <cols>
    <col min="1" max="1" width="12.44140625" customWidth="1"/>
    <col min="2" max="2" width="17.6640625" bestFit="1" customWidth="1"/>
    <col min="3" max="3" width="24" bestFit="1" customWidth="1"/>
    <col min="4" max="4" width="63.77734375" customWidth="1"/>
    <col min="5" max="5" width="65.5546875" bestFit="1" customWidth="1"/>
    <col min="6" max="7" width="10.88671875" customWidth="1"/>
    <col min="8" max="8" width="38" style="33" bestFit="1" customWidth="1"/>
    <col min="9" max="9" width="27.109375" style="32" customWidth="1"/>
    <col min="10" max="10" width="15.88671875" bestFit="1" customWidth="1"/>
    <col min="11" max="11" width="7.44140625" customWidth="1"/>
    <col min="13" max="13" width="32.77734375" bestFit="1" customWidth="1"/>
    <col min="14" max="14" width="21" bestFit="1" customWidth="1"/>
  </cols>
  <sheetData>
    <row r="1" spans="1:14">
      <c r="A1" s="68" t="s">
        <v>141</v>
      </c>
      <c r="B1" s="68"/>
      <c r="C1" s="68"/>
      <c r="D1" s="69"/>
      <c r="E1" s="69"/>
      <c r="F1" s="69"/>
      <c r="G1" s="69"/>
      <c r="H1" s="69"/>
      <c r="I1" s="69"/>
      <c r="J1" s="69"/>
      <c r="K1" s="69"/>
      <c r="L1" s="69"/>
      <c r="M1" s="69"/>
    </row>
    <row r="2" spans="1:14">
      <c r="A2" s="68"/>
      <c r="B2" s="59" t="s">
        <v>105</v>
      </c>
      <c r="C2" s="59"/>
      <c r="D2" s="59"/>
      <c r="E2" s="69"/>
      <c r="F2" s="69"/>
      <c r="G2" s="69"/>
      <c r="H2" s="69"/>
      <c r="I2" s="69"/>
      <c r="J2" s="69"/>
      <c r="K2" s="69"/>
      <c r="L2" s="69"/>
      <c r="M2" s="69"/>
    </row>
    <row r="3" spans="1:14" s="15" customFormat="1" ht="16.2" customHeight="1">
      <c r="A3" s="53" t="s">
        <v>104</v>
      </c>
      <c r="B3" s="53" t="s">
        <v>131</v>
      </c>
      <c r="C3" s="53" t="s">
        <v>132</v>
      </c>
      <c r="D3" s="53" t="s">
        <v>133</v>
      </c>
      <c r="E3" s="53" t="s">
        <v>138</v>
      </c>
      <c r="F3" s="53" t="s">
        <v>107</v>
      </c>
      <c r="G3" s="53" t="s">
        <v>2</v>
      </c>
      <c r="H3" s="54" t="s">
        <v>5</v>
      </c>
      <c r="I3" s="55" t="s">
        <v>47</v>
      </c>
      <c r="J3" s="53" t="s">
        <v>108</v>
      </c>
      <c r="K3" s="53" t="s">
        <v>70</v>
      </c>
      <c r="L3" s="53" t="s">
        <v>86</v>
      </c>
      <c r="M3" s="53" t="s">
        <v>97</v>
      </c>
      <c r="N3" s="15" t="s">
        <v>158</v>
      </c>
    </row>
    <row r="4" spans="1:14" ht="43.2">
      <c r="A4" s="33"/>
      <c r="B4" s="14" t="s">
        <v>134</v>
      </c>
      <c r="C4" s="66" t="s">
        <v>136</v>
      </c>
      <c r="D4" s="66" t="s">
        <v>137</v>
      </c>
      <c r="E4" s="39" t="s">
        <v>55</v>
      </c>
      <c r="F4" s="33"/>
      <c r="G4" s="70"/>
      <c r="I4" s="39"/>
    </row>
    <row r="5" spans="1:14">
      <c r="A5" s="33"/>
      <c r="B5" s="14"/>
      <c r="C5" s="66"/>
      <c r="D5" s="66"/>
      <c r="E5" s="39" t="s">
        <v>85</v>
      </c>
      <c r="F5" s="33"/>
      <c r="G5" s="70"/>
      <c r="I5" s="39"/>
    </row>
    <row r="6" spans="1:14" ht="42" customHeight="1">
      <c r="A6" s="33"/>
      <c r="B6" s="14"/>
      <c r="C6" s="66"/>
      <c r="D6" s="66"/>
      <c r="E6" s="39" t="s">
        <v>87</v>
      </c>
      <c r="F6" s="33"/>
      <c r="G6" s="70"/>
      <c r="I6" s="39"/>
    </row>
    <row r="7" spans="1:14" ht="115.2">
      <c r="A7" s="33">
        <v>1</v>
      </c>
      <c r="B7" s="14" t="s">
        <v>134</v>
      </c>
      <c r="C7" s="66" t="s">
        <v>139</v>
      </c>
      <c r="D7" s="1" t="s">
        <v>135</v>
      </c>
      <c r="E7" s="39" t="s">
        <v>55</v>
      </c>
      <c r="F7" s="33">
        <v>8</v>
      </c>
      <c r="G7" s="70">
        <v>46254</v>
      </c>
      <c r="H7" s="33" t="s">
        <v>109</v>
      </c>
      <c r="I7" s="39"/>
    </row>
    <row r="8" spans="1:14">
      <c r="A8" s="33"/>
      <c r="B8" s="14"/>
      <c r="C8" s="14"/>
      <c r="D8" s="1"/>
      <c r="E8" s="39" t="s">
        <v>85</v>
      </c>
      <c r="F8" s="33"/>
      <c r="G8" s="70"/>
      <c r="I8" s="39"/>
    </row>
    <row r="9" spans="1:14" ht="28.8">
      <c r="A9" s="33"/>
      <c r="B9" s="14"/>
      <c r="C9" s="14"/>
      <c r="D9" s="1"/>
      <c r="E9" s="39" t="s">
        <v>87</v>
      </c>
      <c r="F9" s="33"/>
      <c r="G9" s="70"/>
      <c r="I9" s="39"/>
    </row>
    <row r="10" spans="1:14">
      <c r="A10" s="33"/>
      <c r="B10" s="14"/>
      <c r="C10" s="14"/>
      <c r="D10" s="1"/>
      <c r="E10" s="31" t="s">
        <v>140</v>
      </c>
      <c r="F10" s="33"/>
      <c r="G10" s="70"/>
      <c r="H10" s="33" t="s">
        <v>56</v>
      </c>
      <c r="I10" s="39" t="s">
        <v>84</v>
      </c>
    </row>
    <row r="11" spans="1:14">
      <c r="A11" s="33"/>
      <c r="B11" s="14"/>
      <c r="C11" s="14"/>
      <c r="D11" s="1"/>
      <c r="E11" s="1"/>
      <c r="F11" s="33"/>
      <c r="G11" s="70"/>
      <c r="I11" s="39" t="s">
        <v>57</v>
      </c>
    </row>
    <row r="12" spans="1:14" ht="28.8">
      <c r="A12" s="33"/>
      <c r="B12" s="14"/>
      <c r="C12" s="14"/>
      <c r="D12" s="1"/>
      <c r="E12" s="1"/>
      <c r="F12" s="33"/>
      <c r="G12" s="70"/>
      <c r="H12" s="14" t="s">
        <v>118</v>
      </c>
      <c r="I12" s="43" t="s">
        <v>119</v>
      </c>
      <c r="M12" t="s">
        <v>120</v>
      </c>
    </row>
    <row r="13" spans="1:14">
      <c r="A13" s="14"/>
      <c r="B13" s="14"/>
      <c r="C13" s="14"/>
      <c r="D13" s="31"/>
      <c r="F13" s="14"/>
      <c r="G13" s="22"/>
      <c r="H13" s="14" t="s">
        <v>129</v>
      </c>
      <c r="I13" s="65" t="s">
        <v>130</v>
      </c>
    </row>
    <row r="14" spans="1:14">
      <c r="A14" s="14"/>
      <c r="B14" s="14"/>
      <c r="C14" s="14"/>
      <c r="D14" s="31"/>
      <c r="E14" s="31"/>
      <c r="F14" s="14"/>
      <c r="G14" s="22"/>
      <c r="H14" s="14"/>
      <c r="I14" s="65"/>
    </row>
    <row r="15" spans="1:14">
      <c r="A15" s="34"/>
      <c r="B15" s="34"/>
      <c r="C15" s="34"/>
      <c r="D15" s="35" t="s">
        <v>116</v>
      </c>
      <c r="E15" s="35"/>
      <c r="F15" s="36"/>
      <c r="G15" s="38">
        <v>46261</v>
      </c>
      <c r="H15" s="36"/>
      <c r="I15" s="46"/>
      <c r="J15" s="37"/>
      <c r="K15" s="37"/>
      <c r="L15" s="37"/>
      <c r="M15" s="37"/>
    </row>
    <row r="16" spans="1:14" ht="57.6" customHeight="1">
      <c r="A16" s="33">
        <v>2</v>
      </c>
      <c r="B16" s="14"/>
      <c r="C16" s="14"/>
      <c r="D16" s="67" t="s">
        <v>124</v>
      </c>
      <c r="E16" s="67"/>
      <c r="F16" s="33">
        <v>8</v>
      </c>
      <c r="G16" s="70">
        <v>46261</v>
      </c>
      <c r="H16" s="33" t="s">
        <v>48</v>
      </c>
      <c r="I16" s="45" t="s">
        <v>49</v>
      </c>
    </row>
    <row r="17" spans="1:13" ht="43.2">
      <c r="A17" s="33"/>
      <c r="B17" s="14"/>
      <c r="C17" s="14"/>
      <c r="D17" s="67"/>
      <c r="E17" s="67"/>
      <c r="F17" s="33"/>
      <c r="G17" s="70"/>
      <c r="I17" s="39" t="s">
        <v>50</v>
      </c>
    </row>
    <row r="18" spans="1:13">
      <c r="A18" s="33"/>
      <c r="B18" s="14"/>
      <c r="C18" s="14"/>
      <c r="D18" s="67"/>
      <c r="E18" s="67"/>
      <c r="F18" s="33"/>
      <c r="G18" s="70"/>
      <c r="I18" s="39" t="s">
        <v>51</v>
      </c>
    </row>
    <row r="19" spans="1:13" ht="28.8">
      <c r="A19" s="33"/>
      <c r="B19" s="14"/>
      <c r="C19" s="14"/>
      <c r="D19" s="67"/>
      <c r="E19" s="67"/>
      <c r="F19" s="33"/>
      <c r="G19" s="70"/>
      <c r="I19" s="39" t="s">
        <v>52</v>
      </c>
    </row>
    <row r="20" spans="1:13" ht="57.6">
      <c r="A20" s="33"/>
      <c r="B20" s="14"/>
      <c r="C20" s="14"/>
      <c r="D20" s="67"/>
      <c r="E20" s="67"/>
      <c r="F20" s="33"/>
      <c r="G20" s="70"/>
      <c r="I20" s="39" t="s">
        <v>53</v>
      </c>
    </row>
    <row r="21" spans="1:13">
      <c r="A21" s="33"/>
      <c r="B21" s="14"/>
      <c r="C21" s="14"/>
      <c r="D21" s="67"/>
      <c r="E21" s="67"/>
      <c r="F21" s="33"/>
      <c r="G21" s="70"/>
      <c r="H21" s="33" t="s">
        <v>110</v>
      </c>
      <c r="I21" s="39" t="s">
        <v>84</v>
      </c>
    </row>
    <row r="22" spans="1:13">
      <c r="A22" s="33"/>
      <c r="B22" s="14"/>
      <c r="C22" s="14"/>
      <c r="D22" s="67"/>
      <c r="E22" s="67"/>
      <c r="F22" s="33"/>
      <c r="G22" s="70"/>
      <c r="I22" s="43" t="s">
        <v>57</v>
      </c>
    </row>
    <row r="23" spans="1:13" ht="57.6">
      <c r="A23" s="33"/>
      <c r="B23" s="14"/>
      <c r="C23" s="14"/>
      <c r="D23" s="67"/>
      <c r="E23" s="67"/>
      <c r="F23" s="33"/>
      <c r="G23" s="70"/>
      <c r="H23" s="14" t="s">
        <v>125</v>
      </c>
      <c r="I23" s="39" t="s">
        <v>126</v>
      </c>
    </row>
    <row r="24" spans="1:13" s="15" customFormat="1">
      <c r="A24" s="47"/>
      <c r="B24" s="47"/>
      <c r="C24" s="47"/>
      <c r="D24" s="48" t="s">
        <v>117</v>
      </c>
      <c r="E24" s="48"/>
      <c r="F24" s="47"/>
      <c r="G24" s="49">
        <v>46268</v>
      </c>
      <c r="H24" s="47" t="s">
        <v>128</v>
      </c>
      <c r="I24" s="50"/>
      <c r="J24" s="51"/>
      <c r="K24" s="51"/>
      <c r="L24" s="51"/>
      <c r="M24" s="51"/>
    </row>
    <row r="25" spans="1:13" ht="86.4">
      <c r="A25" s="33">
        <v>3</v>
      </c>
      <c r="B25" s="14"/>
      <c r="C25" s="14"/>
      <c r="D25" s="67" t="s">
        <v>112</v>
      </c>
      <c r="E25" s="67"/>
      <c r="F25" s="33">
        <v>5</v>
      </c>
      <c r="G25" s="70">
        <v>46268</v>
      </c>
      <c r="H25" s="33" t="s">
        <v>111</v>
      </c>
      <c r="I25" s="45" t="s">
        <v>60</v>
      </c>
    </row>
    <row r="26" spans="1:13" ht="43.2">
      <c r="A26" s="33"/>
      <c r="B26" s="14"/>
      <c r="C26" s="14"/>
      <c r="D26" s="67"/>
      <c r="E26" s="67"/>
      <c r="F26" s="33"/>
      <c r="G26" s="70"/>
      <c r="I26" s="39" t="s">
        <v>61</v>
      </c>
    </row>
    <row r="27" spans="1:13" ht="129.6">
      <c r="A27" s="33"/>
      <c r="B27" s="14"/>
      <c r="C27" s="14"/>
      <c r="D27" s="67"/>
      <c r="E27" s="67"/>
      <c r="F27" s="33"/>
      <c r="G27" s="70"/>
      <c r="H27" s="33" t="s">
        <v>37</v>
      </c>
      <c r="I27" s="39" t="s">
        <v>103</v>
      </c>
    </row>
    <row r="28" spans="1:13">
      <c r="A28" s="33"/>
      <c r="B28" s="14"/>
      <c r="C28" s="14"/>
      <c r="D28" s="67"/>
      <c r="E28" s="67"/>
      <c r="F28" s="33"/>
      <c r="G28" s="70"/>
      <c r="I28" s="39" t="s">
        <v>62</v>
      </c>
    </row>
    <row r="29" spans="1:13">
      <c r="A29" s="33"/>
      <c r="B29" s="14"/>
      <c r="C29" s="14"/>
      <c r="D29" s="67"/>
      <c r="E29" s="67"/>
      <c r="F29" s="33"/>
      <c r="G29" s="70"/>
      <c r="I29" s="40" t="s">
        <v>81</v>
      </c>
    </row>
    <row r="30" spans="1:13" ht="28.8">
      <c r="A30" s="33"/>
      <c r="B30" s="14"/>
      <c r="C30" s="14"/>
      <c r="D30" s="67"/>
      <c r="E30" s="67"/>
      <c r="F30" s="33"/>
      <c r="G30" s="70"/>
      <c r="I30" s="43" t="s">
        <v>63</v>
      </c>
    </row>
    <row r="31" spans="1:13">
      <c r="A31" s="34"/>
      <c r="B31" s="34"/>
      <c r="C31" s="34"/>
      <c r="D31" s="35" t="s">
        <v>116</v>
      </c>
      <c r="E31" s="35"/>
      <c r="F31" s="36"/>
      <c r="G31" s="38">
        <v>46275</v>
      </c>
      <c r="H31" s="36"/>
      <c r="I31" s="46"/>
      <c r="J31" s="37"/>
      <c r="K31" s="37"/>
      <c r="L31" s="37"/>
      <c r="M31" s="37"/>
    </row>
    <row r="32" spans="1:13" ht="43.2" customHeight="1">
      <c r="A32" s="33">
        <v>4</v>
      </c>
      <c r="B32" s="14"/>
      <c r="C32" s="14"/>
      <c r="D32" s="67" t="s">
        <v>113</v>
      </c>
      <c r="E32" s="67"/>
      <c r="F32" s="33">
        <v>8</v>
      </c>
      <c r="G32" s="70">
        <v>46275</v>
      </c>
      <c r="H32" s="33" t="s">
        <v>114</v>
      </c>
      <c r="I32" s="44" t="s">
        <v>65</v>
      </c>
    </row>
    <row r="33" spans="1:13">
      <c r="A33" s="33"/>
      <c r="B33" s="14"/>
      <c r="C33" s="14"/>
      <c r="D33" s="67"/>
      <c r="E33" s="67"/>
      <c r="F33" s="33"/>
      <c r="G33" s="70"/>
      <c r="I33" s="41" t="s">
        <v>66</v>
      </c>
    </row>
    <row r="34" spans="1:13" ht="43.2">
      <c r="A34" s="33"/>
      <c r="B34" s="14"/>
      <c r="C34" s="14"/>
      <c r="D34" s="67"/>
      <c r="E34" s="67"/>
      <c r="F34" s="33"/>
      <c r="G34" s="70"/>
      <c r="H34" s="33" t="s">
        <v>115</v>
      </c>
      <c r="I34" s="41" t="s">
        <v>72</v>
      </c>
    </row>
    <row r="35" spans="1:13" ht="28.8">
      <c r="A35" s="33"/>
      <c r="B35" s="14"/>
      <c r="C35" s="14"/>
      <c r="D35" s="67"/>
      <c r="E35" s="67"/>
      <c r="F35" s="33"/>
      <c r="G35" s="70"/>
      <c r="I35" s="41" t="s">
        <v>73</v>
      </c>
    </row>
    <row r="36" spans="1:13" ht="43.2">
      <c r="A36" s="33"/>
      <c r="B36" s="14"/>
      <c r="C36" s="14"/>
      <c r="D36" s="67"/>
      <c r="E36" s="67"/>
      <c r="F36" s="33"/>
      <c r="G36" s="70"/>
      <c r="H36" s="33" t="s">
        <v>29</v>
      </c>
      <c r="I36" s="41" t="s">
        <v>74</v>
      </c>
    </row>
    <row r="37" spans="1:13" ht="28.8">
      <c r="A37" s="33"/>
      <c r="B37" s="14"/>
      <c r="C37" s="14"/>
      <c r="D37" s="67"/>
      <c r="E37" s="67"/>
      <c r="F37" s="33"/>
      <c r="G37" s="70"/>
      <c r="I37" s="41" t="s">
        <v>75</v>
      </c>
    </row>
    <row r="38" spans="1:13">
      <c r="A38" s="33"/>
      <c r="B38" s="14"/>
      <c r="C38" s="14"/>
      <c r="D38" s="67"/>
      <c r="E38" s="67"/>
      <c r="F38" s="33"/>
      <c r="G38" s="70"/>
      <c r="I38" s="41" t="s">
        <v>76</v>
      </c>
    </row>
    <row r="39" spans="1:13">
      <c r="A39" s="33"/>
      <c r="B39" s="14"/>
      <c r="C39" s="14"/>
      <c r="D39" s="67"/>
      <c r="E39" s="67"/>
      <c r="F39" s="33"/>
      <c r="G39" s="70"/>
      <c r="I39" s="41" t="s">
        <v>77</v>
      </c>
    </row>
    <row r="40" spans="1:13">
      <c r="A40" s="33"/>
      <c r="B40" s="14"/>
      <c r="C40" s="14"/>
      <c r="D40" s="67"/>
      <c r="E40" s="67"/>
      <c r="F40" s="33"/>
      <c r="G40" s="70"/>
      <c r="H40" s="33" t="s">
        <v>121</v>
      </c>
      <c r="I40" s="41" t="s">
        <v>122</v>
      </c>
    </row>
    <row r="41" spans="1:13" ht="28.8">
      <c r="A41" s="33"/>
      <c r="B41" s="14"/>
      <c r="C41" s="14"/>
      <c r="D41" s="67"/>
      <c r="E41" s="67"/>
      <c r="F41" s="33"/>
      <c r="G41" s="70"/>
      <c r="I41" s="42" t="s">
        <v>123</v>
      </c>
    </row>
    <row r="42" spans="1:13" s="15" customFormat="1">
      <c r="A42" s="47"/>
      <c r="B42" s="47"/>
      <c r="C42" s="47"/>
      <c r="D42" s="48" t="s">
        <v>117</v>
      </c>
      <c r="E42" s="48"/>
      <c r="F42" s="47"/>
      <c r="G42" s="49">
        <v>46282</v>
      </c>
      <c r="H42" s="47" t="s">
        <v>127</v>
      </c>
      <c r="I42" s="52"/>
      <c r="J42" s="51"/>
      <c r="K42" s="51"/>
      <c r="L42" s="51"/>
      <c r="M42" s="51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B384-1725-40B5-B0F7-A3A77A0F68B1}">
  <dimension ref="A1:J39"/>
  <sheetViews>
    <sheetView tabSelected="1" workbookViewId="0">
      <selection activeCell="F3" sqref="F3"/>
    </sheetView>
  </sheetViews>
  <sheetFormatPr defaultRowHeight="14.4"/>
  <cols>
    <col min="1" max="1" width="14.77734375" bestFit="1" customWidth="1"/>
    <col min="2" max="2" width="17.21875" bestFit="1" customWidth="1"/>
    <col min="3" max="3" width="20" customWidth="1"/>
    <col min="4" max="4" width="35.77734375" customWidth="1"/>
    <col min="5" max="5" width="34.5546875" bestFit="1" customWidth="1"/>
    <col min="6" max="6" width="19" bestFit="1" customWidth="1"/>
    <col min="7" max="7" width="9.44140625" bestFit="1" customWidth="1"/>
    <col min="8" max="8" width="17.5546875" bestFit="1" customWidth="1"/>
    <col min="9" max="9" width="17.88671875" customWidth="1"/>
    <col min="10" max="10" width="14.44140625" bestFit="1" customWidth="1"/>
  </cols>
  <sheetData>
    <row r="1" spans="1:10">
      <c r="A1" s="68"/>
      <c r="B1" s="59" t="s">
        <v>105</v>
      </c>
      <c r="C1" s="59"/>
      <c r="D1" s="59"/>
      <c r="E1" s="68"/>
      <c r="F1" s="68"/>
      <c r="G1" s="56" t="s">
        <v>161</v>
      </c>
      <c r="H1" s="56" t="s">
        <v>161</v>
      </c>
      <c r="I1" s="68"/>
      <c r="J1" s="68"/>
    </row>
    <row r="2" spans="1:10">
      <c r="A2" s="53" t="s">
        <v>10</v>
      </c>
      <c r="B2" s="53" t="s">
        <v>159</v>
      </c>
      <c r="C2" s="53" t="s">
        <v>132</v>
      </c>
      <c r="D2" s="53" t="s">
        <v>133</v>
      </c>
      <c r="E2" s="53" t="s">
        <v>142</v>
      </c>
      <c r="F2" s="53" t="s">
        <v>145</v>
      </c>
      <c r="G2" s="53" t="s">
        <v>106</v>
      </c>
      <c r="H2" s="53" t="s">
        <v>160</v>
      </c>
      <c r="I2" s="53" t="s">
        <v>163</v>
      </c>
      <c r="J2" s="53" t="s">
        <v>162</v>
      </c>
    </row>
    <row r="3" spans="1:10" ht="115.2">
      <c r="A3" s="33">
        <v>1</v>
      </c>
      <c r="B3" s="72" t="s">
        <v>134</v>
      </c>
      <c r="C3" s="66" t="s">
        <v>136</v>
      </c>
      <c r="D3" s="66" t="s">
        <v>137</v>
      </c>
      <c r="E3" s="66" t="s">
        <v>146</v>
      </c>
      <c r="G3">
        <v>5</v>
      </c>
      <c r="H3">
        <v>1</v>
      </c>
      <c r="I3">
        <f>6-H3</f>
        <v>5</v>
      </c>
      <c r="J3">
        <f>SQRT(G3*I3)</f>
        <v>5</v>
      </c>
    </row>
    <row r="4" spans="1:10" ht="230.4">
      <c r="A4" s="33">
        <v>2</v>
      </c>
      <c r="B4" s="72" t="s">
        <v>134</v>
      </c>
      <c r="C4" s="66" t="s">
        <v>139</v>
      </c>
      <c r="D4" s="1" t="s">
        <v>147</v>
      </c>
      <c r="E4" s="66" t="s">
        <v>148</v>
      </c>
    </row>
    <row r="5" spans="1:10" ht="316.8">
      <c r="A5" s="33">
        <v>3</v>
      </c>
      <c r="B5" s="14" t="s">
        <v>134</v>
      </c>
      <c r="C5" s="71" t="s">
        <v>143</v>
      </c>
      <c r="D5" s="1" t="s">
        <v>144</v>
      </c>
    </row>
    <row r="6" spans="1:10" ht="28.8">
      <c r="A6" s="33">
        <v>4</v>
      </c>
      <c r="B6" s="14" t="s">
        <v>134</v>
      </c>
      <c r="C6" s="66" t="s">
        <v>157</v>
      </c>
      <c r="D6" s="1"/>
    </row>
    <row r="7" spans="1:10">
      <c r="A7" s="33"/>
      <c r="B7" s="14"/>
      <c r="C7" s="14"/>
      <c r="D7" s="1"/>
    </row>
    <row r="8" spans="1:10">
      <c r="A8" s="33"/>
      <c r="B8" s="14"/>
      <c r="C8" s="14"/>
      <c r="D8" s="1"/>
    </row>
    <row r="9" spans="1:10">
      <c r="A9" s="33"/>
      <c r="B9" s="14"/>
      <c r="C9" s="14"/>
      <c r="D9" s="1"/>
    </row>
    <row r="10" spans="1:10">
      <c r="A10" s="14"/>
      <c r="B10" s="14"/>
      <c r="C10" s="14"/>
      <c r="D10" s="31"/>
    </row>
    <row r="11" spans="1:10">
      <c r="A11" s="14"/>
      <c r="B11" s="14"/>
      <c r="C11" s="14"/>
      <c r="D11" s="31"/>
    </row>
    <row r="12" spans="1:10">
      <c r="A12" s="34"/>
      <c r="B12" s="34"/>
      <c r="C12" s="34"/>
      <c r="D12" s="35" t="s">
        <v>116</v>
      </c>
    </row>
    <row r="13" spans="1:10" ht="100.8">
      <c r="A13" s="33">
        <v>2</v>
      </c>
      <c r="B13" s="14"/>
      <c r="C13" s="14"/>
      <c r="D13" s="67" t="s">
        <v>124</v>
      </c>
    </row>
    <row r="14" spans="1:10">
      <c r="A14" s="33"/>
      <c r="B14" s="14"/>
      <c r="C14" s="14"/>
      <c r="D14" s="67"/>
    </row>
    <row r="15" spans="1:10">
      <c r="A15" s="33"/>
      <c r="B15" s="14"/>
      <c r="C15" s="14"/>
      <c r="D15" s="67"/>
    </row>
    <row r="16" spans="1:10">
      <c r="A16" s="33"/>
      <c r="B16" s="14"/>
      <c r="C16" s="14"/>
      <c r="D16" s="67"/>
    </row>
    <row r="17" spans="1:4">
      <c r="A17" s="33"/>
      <c r="B17" s="14"/>
      <c r="C17" s="14"/>
      <c r="D17" s="67"/>
    </row>
    <row r="18" spans="1:4">
      <c r="A18" s="33"/>
      <c r="B18" s="14"/>
      <c r="C18" s="14"/>
      <c r="D18" s="67"/>
    </row>
    <row r="19" spans="1:4">
      <c r="A19" s="33"/>
      <c r="B19" s="14"/>
      <c r="C19" s="14"/>
      <c r="D19" s="67"/>
    </row>
    <row r="20" spans="1:4">
      <c r="A20" s="33"/>
      <c r="B20" s="14"/>
      <c r="C20" s="14"/>
      <c r="D20" s="67"/>
    </row>
    <row r="21" spans="1:4">
      <c r="A21" s="47"/>
      <c r="B21" s="47"/>
      <c r="C21" s="47"/>
      <c r="D21" s="48" t="s">
        <v>117</v>
      </c>
    </row>
    <row r="22" spans="1:4" ht="86.4">
      <c r="A22" s="33">
        <v>3</v>
      </c>
      <c r="B22" s="14"/>
      <c r="C22" s="14"/>
      <c r="D22" s="67" t="s">
        <v>112</v>
      </c>
    </row>
    <row r="23" spans="1:4">
      <c r="A23" s="33"/>
      <c r="B23" s="14"/>
      <c r="C23" s="14"/>
      <c r="D23" s="67"/>
    </row>
    <row r="24" spans="1:4">
      <c r="A24" s="33"/>
      <c r="B24" s="14"/>
      <c r="C24" s="14"/>
      <c r="D24" s="67"/>
    </row>
    <row r="25" spans="1:4">
      <c r="A25" s="33"/>
      <c r="B25" s="14"/>
      <c r="C25" s="14"/>
      <c r="D25" s="67"/>
    </row>
    <row r="26" spans="1:4">
      <c r="A26" s="33"/>
      <c r="B26" s="14"/>
      <c r="C26" s="14"/>
      <c r="D26" s="67"/>
    </row>
    <row r="27" spans="1:4">
      <c r="A27" s="33"/>
      <c r="B27" s="14"/>
      <c r="C27" s="14"/>
      <c r="D27" s="67"/>
    </row>
    <row r="28" spans="1:4">
      <c r="A28" s="34"/>
      <c r="B28" s="34"/>
      <c r="C28" s="34"/>
      <c r="D28" s="35" t="s">
        <v>116</v>
      </c>
    </row>
    <row r="29" spans="1:4" ht="86.4">
      <c r="A29" s="33">
        <v>4</v>
      </c>
      <c r="B29" s="14"/>
      <c r="C29" s="14"/>
      <c r="D29" s="67" t="s">
        <v>113</v>
      </c>
    </row>
    <row r="30" spans="1:4">
      <c r="A30" s="33"/>
      <c r="B30" s="14"/>
      <c r="C30" s="14"/>
      <c r="D30" s="67"/>
    </row>
    <row r="31" spans="1:4">
      <c r="A31" s="33"/>
      <c r="B31" s="14"/>
      <c r="C31" s="14"/>
      <c r="D31" s="67"/>
    </row>
    <row r="32" spans="1:4">
      <c r="A32" s="33"/>
      <c r="B32" s="14"/>
      <c r="C32" s="14"/>
      <c r="D32" s="67"/>
    </row>
    <row r="33" spans="1:4">
      <c r="A33" s="33"/>
      <c r="B33" s="14"/>
      <c r="C33" s="14"/>
      <c r="D33" s="67"/>
    </row>
    <row r="34" spans="1:4">
      <c r="A34" s="33"/>
      <c r="B34" s="14"/>
      <c r="C34" s="14"/>
      <c r="D34" s="67"/>
    </row>
    <row r="35" spans="1:4">
      <c r="A35" s="33"/>
      <c r="B35" s="14"/>
      <c r="C35" s="14"/>
      <c r="D35" s="67"/>
    </row>
    <row r="36" spans="1:4">
      <c r="A36" s="33"/>
      <c r="B36" s="14"/>
      <c r="C36" s="14"/>
      <c r="D36" s="67"/>
    </row>
    <row r="37" spans="1:4">
      <c r="A37" s="33"/>
      <c r="B37" s="14"/>
      <c r="C37" s="14"/>
      <c r="D37" s="67"/>
    </row>
    <row r="38" spans="1:4">
      <c r="A38" s="33"/>
      <c r="B38" s="14"/>
      <c r="C38" s="14"/>
      <c r="D38" s="67"/>
    </row>
    <row r="39" spans="1:4">
      <c r="A39" s="47"/>
      <c r="B39" s="47"/>
      <c r="C39" s="47"/>
      <c r="D39" s="48" t="s">
        <v>117</v>
      </c>
    </row>
  </sheetData>
  <mergeCells count="1">
    <mergeCell ref="B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110B-B1A6-47E4-BCEC-C2B4CA62D5BE}">
  <dimension ref="A1:G3"/>
  <sheetViews>
    <sheetView workbookViewId="0">
      <selection activeCell="H14" sqref="H14"/>
    </sheetView>
  </sheetViews>
  <sheetFormatPr defaultRowHeight="14.4"/>
  <sheetData>
    <row r="1" spans="1:7">
      <c r="A1" s="73" t="s">
        <v>156</v>
      </c>
      <c r="B1" s="73"/>
      <c r="C1" s="73"/>
      <c r="D1" s="73"/>
      <c r="E1" s="73"/>
      <c r="F1" s="73"/>
      <c r="G1" s="73"/>
    </row>
    <row r="2" spans="1:7">
      <c r="A2" s="74" t="s">
        <v>149</v>
      </c>
      <c r="B2" s="74" t="s">
        <v>150</v>
      </c>
      <c r="C2" s="74" t="s">
        <v>151</v>
      </c>
      <c r="D2" s="74" t="s">
        <v>152</v>
      </c>
      <c r="E2" s="74" t="s">
        <v>153</v>
      </c>
      <c r="F2" s="74" t="s">
        <v>154</v>
      </c>
      <c r="G2" s="74" t="s">
        <v>155</v>
      </c>
    </row>
    <row r="3" spans="1:7">
      <c r="A3" s="74">
        <v>1</v>
      </c>
      <c r="B3" s="74">
        <v>2</v>
      </c>
      <c r="C3" s="74">
        <f>A3+B3</f>
        <v>3</v>
      </c>
      <c r="D3" s="74">
        <f t="shared" ref="D3:G3" si="0">B3+C3</f>
        <v>5</v>
      </c>
      <c r="E3" s="74">
        <f t="shared" si="0"/>
        <v>8</v>
      </c>
      <c r="F3" s="75">
        <f t="shared" si="0"/>
        <v>13</v>
      </c>
      <c r="G3" s="76">
        <f t="shared" si="0"/>
        <v>21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 Plan</vt:lpstr>
      <vt:lpstr>Sprint Plan</vt:lpstr>
      <vt:lpstr>Sprint Backlog</vt:lpstr>
      <vt:lpstr>Product Backlog</vt:lpstr>
      <vt:lpstr>T Shirt sizing 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2026-08-20T12:11:02Z</dcterms:modified>
</cp:coreProperties>
</file>