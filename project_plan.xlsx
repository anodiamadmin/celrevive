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ABD39C3B-4F9D-47AE-93EB-5D0C8D9CDD1D}"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Burndown Chart" sheetId="9" r:id="rId3"/>
    <sheet name="T Shirt sizing rules" sheetId="5" r:id="rId4"/>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9" l="1"/>
  <c r="D4" i="9"/>
  <c r="D5" i="9"/>
  <c r="D6" i="9"/>
  <c r="D7" i="9"/>
  <c r="D8" i="9"/>
  <c r="D9" i="9"/>
  <c r="D10" i="9"/>
  <c r="D2" i="9"/>
  <c r="C3" i="9"/>
  <c r="C4" i="9"/>
  <c r="C5" i="9"/>
  <c r="C6" i="9"/>
  <c r="C7" i="9"/>
  <c r="C8" i="9"/>
  <c r="C9" i="9"/>
  <c r="C10" i="9"/>
  <c r="C2" i="9"/>
  <c r="F12" i="8" a="1"/>
  <c r="F12" i="8" s="1"/>
  <c r="F3" i="8" a="1"/>
  <c r="F3" i="8" s="1"/>
  <c r="C3" i="5"/>
  <c r="D3" i="5" s="1"/>
  <c r="F3" i="5" l="1"/>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A6123E30-2FFB-4B36-8675-D2A1F49CF554}">
      <text>
        <r>
          <rPr>
            <b/>
            <sz val="9"/>
            <color indexed="81"/>
            <rFont val="Tahoma"/>
            <family val="2"/>
          </rPr>
          <t>Author:</t>
        </r>
        <r>
          <rPr>
            <sz val="9"/>
            <color indexed="81"/>
            <rFont val="Tahoma"/>
            <family val="2"/>
          </rPr>
          <t xml:space="preserve">
TBD
WiP
Done</t>
        </r>
      </text>
    </comment>
    <comment ref="C3" authorId="0" shapeId="0" xr:uid="{3BEE7270-9E5D-4C3B-88E0-91F05B9BD669}">
      <text>
        <r>
          <rPr>
            <b/>
            <sz val="9"/>
            <color indexed="81"/>
            <rFont val="Tahoma"/>
            <charset val="1"/>
          </rPr>
          <t>Author:</t>
        </r>
        <r>
          <rPr>
            <sz val="9"/>
            <color indexed="81"/>
            <rFont val="Tahoma"/>
            <charset val="1"/>
          </rPr>
          <t xml:space="preserve">
Receive &amp; Validate Image</t>
        </r>
      </text>
    </comment>
    <comment ref="C12" authorId="0" shapeId="0" xr:uid="{D5A9F85E-92E8-4B8A-B751-650E1FE2569F}">
      <text>
        <r>
          <rPr>
            <b/>
            <sz val="9"/>
            <color indexed="81"/>
            <rFont val="Tahoma"/>
            <charset val="1"/>
          </rPr>
          <t>Author:</t>
        </r>
        <r>
          <rPr>
            <sz val="9"/>
            <color indexed="81"/>
            <rFont val="Tahoma"/>
            <charset val="1"/>
          </rPr>
          <t xml:space="preserve">
Image Quality Decision</t>
        </r>
      </text>
    </comment>
    <comment ref="C15" authorId="0" shapeId="0" xr:uid="{EFBBA07C-E254-4781-9933-E074E562E094}">
      <text>
        <r>
          <rPr>
            <b/>
            <sz val="9"/>
            <color indexed="81"/>
            <rFont val="Tahoma"/>
            <family val="2"/>
          </rPr>
          <t>Author:</t>
        </r>
        <r>
          <rPr>
            <sz val="9"/>
            <color indexed="81"/>
            <rFont val="Tahoma"/>
            <charset val="1"/>
          </rPr>
          <t xml:space="preserve">
Rejection Flow</t>
        </r>
      </text>
    </comment>
    <comment ref="C18" authorId="0" shapeId="0" xr:uid="{08C2F3F8-DE97-42AE-B963-708E64840735}">
      <text>
        <r>
          <rPr>
            <b/>
            <sz val="9"/>
            <color indexed="81"/>
            <rFont val="Tahoma"/>
            <family val="2"/>
          </rPr>
          <t>Author:</t>
        </r>
        <r>
          <rPr>
            <sz val="9"/>
            <color indexed="81"/>
            <rFont val="Tahoma"/>
            <charset val="1"/>
          </rPr>
          <t xml:space="preserve">
Testing</t>
        </r>
      </text>
    </comment>
    <comment ref="C26" authorId="0" shapeId="0" xr:uid="{98BE6294-CAA3-4259-A595-9BA237237285}">
      <text>
        <r>
          <rPr>
            <b/>
            <sz val="9"/>
            <color indexed="81"/>
            <rFont val="Tahoma"/>
            <family val="2"/>
          </rPr>
          <t>Author:</t>
        </r>
        <r>
          <rPr>
            <sz val="9"/>
            <color indexed="81"/>
            <rFont val="Tahoma"/>
            <family val="2"/>
          </rPr>
          <t xml:space="preserve">
Image Session Storage
</t>
        </r>
      </text>
    </comment>
    <comment ref="C29" authorId="0" shapeId="0" xr:uid="{140A5E96-154A-4162-A239-1DBD3E41810C}">
      <text>
        <r>
          <rPr>
            <b/>
            <sz val="9"/>
            <color indexed="81"/>
            <rFont val="Tahoma"/>
            <family val="2"/>
          </rPr>
          <t>Author:</t>
        </r>
        <r>
          <rPr>
            <sz val="9"/>
            <color indexed="81"/>
            <rFont val="Tahoma"/>
            <family val="2"/>
          </rPr>
          <t xml:space="preserve">
Visual AI Output</t>
        </r>
      </text>
    </comment>
    <comment ref="C31" authorId="0" shapeId="0" xr:uid="{E3A3B5A0-0F07-42D5-9D6D-8B8281899F6E}">
      <text>
        <r>
          <rPr>
            <b/>
            <sz val="9"/>
            <color indexed="81"/>
            <rFont val="Tahoma"/>
            <family val="2"/>
          </rPr>
          <t>Author:</t>
        </r>
        <r>
          <rPr>
            <sz val="9"/>
            <color indexed="81"/>
            <rFont val="Tahoma"/>
            <family val="2"/>
          </rPr>
          <t xml:space="preserve">
Visual AI Prompt</t>
        </r>
      </text>
    </comment>
    <comment ref="C38" authorId="0" shapeId="0" xr:uid="{FDDD7F68-C10A-4FC9-9764-CDD59417EB55}">
      <text>
        <r>
          <rPr>
            <b/>
            <sz val="9"/>
            <color indexed="81"/>
            <rFont val="Tahoma"/>
            <family val="2"/>
          </rPr>
          <t>Author:</t>
        </r>
        <r>
          <rPr>
            <sz val="9"/>
            <color indexed="81"/>
            <rFont val="Tahoma"/>
            <family val="2"/>
          </rPr>
          <t xml:space="preserve">
Visual AI Integration</t>
        </r>
      </text>
    </comment>
    <comment ref="C46" authorId="0" shapeId="0" xr:uid="{51C480C2-E212-4A32-86A1-5F704BCFF728}">
      <text>
        <r>
          <rPr>
            <b/>
            <sz val="9"/>
            <color indexed="81"/>
            <rFont val="Tahoma"/>
            <family val="2"/>
          </rPr>
          <t>Author:</t>
        </r>
        <r>
          <rPr>
            <sz val="9"/>
            <color indexed="81"/>
            <rFont val="Tahoma"/>
            <family val="2"/>
          </rPr>
          <t xml:space="preserve">
 Store Visual Analysis</t>
        </r>
      </text>
    </comment>
    <comment ref="C50" authorId="0" shapeId="0" xr:uid="{52553FD1-E265-4535-9DD2-2EA05E499E51}">
      <text>
        <r>
          <rPr>
            <b/>
            <sz val="9"/>
            <color indexed="81"/>
            <rFont val="Tahoma"/>
            <family val="2"/>
          </rPr>
          <t>Author:</t>
        </r>
        <r>
          <rPr>
            <sz val="9"/>
            <color indexed="81"/>
            <rFont val="Tahoma"/>
            <family val="2"/>
          </rPr>
          <t xml:space="preserve">
Testing</t>
        </r>
      </text>
    </comment>
    <comment ref="C59" authorId="0" shapeId="0" xr:uid="{E4589DAE-73CB-47AB-AD0F-AB8AF18DDD65}">
      <text>
        <r>
          <rPr>
            <b/>
            <sz val="9"/>
            <color indexed="81"/>
            <rFont val="Tahoma"/>
            <family val="2"/>
          </rPr>
          <t>Author:</t>
        </r>
        <r>
          <rPr>
            <sz val="9"/>
            <color indexed="81"/>
            <rFont val="Tahoma"/>
            <family val="2"/>
          </rPr>
          <t xml:space="preserve">
Questionnaire Collection</t>
        </r>
      </text>
    </comment>
    <comment ref="C65" authorId="0" shapeId="0" xr:uid="{D05C5BAE-0CC4-4ED2-88B6-98BF1ED2B235}">
      <text>
        <r>
          <rPr>
            <b/>
            <sz val="9"/>
            <color indexed="81"/>
            <rFont val="Tahoma"/>
            <family val="2"/>
          </rPr>
          <t>Author:</t>
        </r>
        <r>
          <rPr>
            <sz val="9"/>
            <color indexed="81"/>
            <rFont val="Tahoma"/>
            <family val="2"/>
          </rPr>
          <t xml:space="preserve">
Questionnaire LLM Analysis</t>
        </r>
      </text>
    </comment>
    <comment ref="C77" authorId="0" shapeId="0" xr:uid="{8C37B025-1BDA-457E-ADB8-C6B979CBD1B1}">
      <text>
        <r>
          <rPr>
            <b/>
            <sz val="9"/>
            <color indexed="81"/>
            <rFont val="Tahoma"/>
            <family val="2"/>
          </rPr>
          <t>Author:</t>
        </r>
        <r>
          <rPr>
            <sz val="9"/>
            <color indexed="81"/>
            <rFont val="Tahoma"/>
            <family val="2"/>
          </rPr>
          <t xml:space="preserve">
Concern Fusion</t>
        </r>
      </text>
    </comment>
    <comment ref="C88" authorId="0" shapeId="0" xr:uid="{D1A59F32-F52A-4554-9D45-7BAAF46B83A7}">
      <text>
        <r>
          <rPr>
            <b/>
            <sz val="9"/>
            <color indexed="81"/>
            <rFont val="Tahoma"/>
            <family val="2"/>
          </rPr>
          <t>Author:</t>
        </r>
        <r>
          <rPr>
            <sz val="9"/>
            <color indexed="81"/>
            <rFont val="Tahoma"/>
            <family val="2"/>
          </rPr>
          <t xml:space="preserve">
Candidate Generation</t>
        </r>
      </text>
    </comment>
    <comment ref="C101" authorId="0" shapeId="0" xr:uid="{29757E96-410A-48C6-A86D-C6221515FA91}">
      <text>
        <r>
          <rPr>
            <b/>
            <sz val="9"/>
            <color indexed="81"/>
            <rFont val="Tahoma"/>
            <family val="2"/>
          </rPr>
          <t>Author:</t>
        </r>
        <r>
          <rPr>
            <sz val="9"/>
            <color indexed="81"/>
            <rFont val="Tahoma"/>
            <family val="2"/>
          </rPr>
          <t xml:space="preserve">
Recommendation Generation</t>
        </r>
      </text>
    </comment>
    <comment ref="C110" authorId="0" shapeId="0" xr:uid="{C9E3522F-95B1-4BD8-BE53-4B604FDEA74C}">
      <text>
        <r>
          <rPr>
            <b/>
            <sz val="9"/>
            <color indexed="81"/>
            <rFont val="Tahoma"/>
            <family val="2"/>
          </rPr>
          <t>Author:</t>
        </r>
        <r>
          <rPr>
            <sz val="9"/>
            <color indexed="81"/>
            <rFont val="Tahoma"/>
            <family val="2"/>
          </rPr>
          <t xml:space="preserve">
Recommendation Persistence</t>
        </r>
      </text>
    </comment>
    <comment ref="C116" authorId="0" shapeId="0" xr:uid="{87018544-F456-4F26-A7A5-F72A08475131}">
      <text>
        <r>
          <rPr>
            <b/>
            <sz val="9"/>
            <color indexed="81"/>
            <rFont val="Tahoma"/>
            <family val="2"/>
          </rPr>
          <t>Author:</t>
        </r>
        <r>
          <rPr>
            <sz val="9"/>
            <color indexed="81"/>
            <rFont val="Tahoma"/>
            <family val="2"/>
          </rPr>
          <t xml:space="preserve">
Final Recommendation Response</t>
        </r>
      </text>
    </comment>
    <comment ref="C127" authorId="0" shapeId="0" xr:uid="{EC2B78D7-751C-44BB-9D07-F55A82442F1A}">
      <text>
        <r>
          <rPr>
            <b/>
            <sz val="9"/>
            <color indexed="81"/>
            <rFont val="Tahoma"/>
            <family val="2"/>
          </rPr>
          <t>Author:</t>
        </r>
        <r>
          <rPr>
            <sz val="9"/>
            <color indexed="81"/>
            <rFont val="Tahoma"/>
            <family val="2"/>
          </rPr>
          <t xml:space="preserve">
Recommendation Screen</t>
        </r>
      </text>
    </comment>
    <comment ref="C137" authorId="0" shapeId="0" xr:uid="{99C81342-5268-4323-82B8-DCB2C87D9E02}">
      <text>
        <r>
          <rPr>
            <b/>
            <sz val="9"/>
            <color indexed="81"/>
            <rFont val="Tahoma"/>
            <family val="2"/>
          </rPr>
          <t>Author:</t>
        </r>
        <r>
          <rPr>
            <sz val="9"/>
            <color indexed="81"/>
            <rFont val="Tahoma"/>
            <family val="2"/>
          </rPr>
          <t xml:space="preserve">
Recommendation Error Handling</t>
        </r>
      </text>
    </comment>
    <comment ref="C142" authorId="0" shapeId="0" xr:uid="{73BA3055-4675-4813-88D0-50B14C092AF1}">
      <text>
        <r>
          <rPr>
            <b/>
            <sz val="9"/>
            <color indexed="81"/>
            <rFont val="Tahoma"/>
            <family val="2"/>
          </rPr>
          <t>Author:</t>
        </r>
        <r>
          <rPr>
            <sz val="9"/>
            <color indexed="81"/>
            <rFont val="Tahoma"/>
            <family val="2"/>
          </rPr>
          <t xml:space="preserve">
Testing</t>
        </r>
      </text>
    </comment>
    <comment ref="C157" authorId="0" shapeId="0" xr:uid="{706E98C8-4B35-46F2-B926-68F27F8F78A4}">
      <text>
        <r>
          <rPr>
            <b/>
            <sz val="9"/>
            <color indexed="81"/>
            <rFont val="Tahoma"/>
            <family val="2"/>
          </rPr>
          <t>Author:</t>
        </r>
        <r>
          <rPr>
            <sz val="9"/>
            <color indexed="81"/>
            <rFont val="Tahoma"/>
            <family val="2"/>
          </rPr>
          <t xml:space="preserve">
Shopify Cart Integration</t>
        </r>
      </text>
    </comment>
    <comment ref="C161" authorId="0" shapeId="0" xr:uid="{A79A220B-8C29-48AD-9825-8780EE217E6A}">
      <text>
        <r>
          <rPr>
            <b/>
            <sz val="9"/>
            <color indexed="81"/>
            <rFont val="Tahoma"/>
            <family val="2"/>
          </rPr>
          <t>Author:</t>
        </r>
        <r>
          <rPr>
            <sz val="9"/>
            <color indexed="81"/>
            <rFont val="Tahoma"/>
            <family val="2"/>
          </rPr>
          <t xml:space="preserve">
Add to Cart Backend</t>
        </r>
      </text>
    </comment>
    <comment ref="C168" authorId="0" shapeId="0" xr:uid="{C4E0F00C-6245-4423-9EA8-8A42808307DE}">
      <text>
        <r>
          <rPr>
            <b/>
            <sz val="9"/>
            <color indexed="81"/>
            <rFont val="Tahoma"/>
            <family val="2"/>
          </rPr>
          <t>Author:</t>
        </r>
        <r>
          <rPr>
            <sz val="9"/>
            <color indexed="81"/>
            <rFont val="Tahoma"/>
            <family val="2"/>
          </rPr>
          <t xml:space="preserve">
Add to Cart UI</t>
        </r>
      </text>
    </comment>
    <comment ref="C174" authorId="0" shapeId="0" xr:uid="{D8702894-1958-4EC2-ACC6-FDE92A697344}">
      <text>
        <r>
          <rPr>
            <b/>
            <sz val="9"/>
            <color indexed="81"/>
            <rFont val="Tahoma"/>
            <family val="2"/>
          </rPr>
          <t>Author:</t>
        </r>
        <r>
          <rPr>
            <sz val="9"/>
            <color indexed="81"/>
            <rFont val="Tahoma"/>
            <family val="2"/>
          </rPr>
          <t xml:space="preserve">
Testing</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<sst xmlns="http://schemas.openxmlformats.org/spreadsheetml/2006/main" count="247" uniqueCount="233">
  <si>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</si>
  <si>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</si>
  <si>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</si>
  <si>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</si>
  <si>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</si>
  <si>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</si>
  <si>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</si>
  <si>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</si>
  <si>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</si>
  <si>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</si>
  <si>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</si>
  <si>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</si>
  <si>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</si>
  <si>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</si>
  <si>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</si>
  <si>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</si>
  <si>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</si>
  <si>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</si>
  <si>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</si>
  <si>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</si>
  <si>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</si>
  <si>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</si>
  <si>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</si>
  <si>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</si>
  <si>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</si>
  <si>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</si>
  <si>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</si>
  <si>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</si>
  <si>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</si>
  <si>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</si>
  <si>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</si>
  <si>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</si>
  <si>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</si>
  <si>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</si>
  <si>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</si>
  <si>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</si>
  <si>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</si>
  <si>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</si>
  <si>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</si>
  <si>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</si>
  <si>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</si>
  <si>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</si>
  <si>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</si>
  <si>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</si>
  <si>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</si>
  <si>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</si>
  <si>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</si>
  <si>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</si>
  <si>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</si>
  <si>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</si>
  <si>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</si>
  <si>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</si>
  <si>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</si>
  <si>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</si>
  <si>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</si>
  <si>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</si>
  <si>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 xml:space="preserve">I can have my skin image analysed for visible skin concerns and proceed to the questionnaire to provide additional information about my skin. </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</si>
  <si>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</si>
  <si>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</si>
  <si>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</si>
  <si>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</si>
  <si>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</si>
  <si>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</si>
  <si>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</si>
  <si>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</si>
  <si>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</si>
  <si>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</si>
  <si>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</si>
  <si>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</si>
  <si>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</si>
  <si>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</si>
  <si>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</si>
  <si>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</si>
  <si>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</si>
  <si>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</si>
  <si>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</si>
  <si>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</si>
  <si>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</si>
  <si>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</si>
  <si>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</si>
  <si>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</si>
  <si>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</si>
  <si>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</si>
  <si>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</si>
  <si>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</si>
  <si>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</si>
  <si>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</si>
  <si>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</si>
  <si>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</si>
  <si>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</si>
  <si>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</si>
  <si>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</si>
  <si>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</si>
  <si>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</si>
  <si>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</si>
  <si>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</si>
  <si>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</si>
  <si>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</si>
  <si>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</si>
  <si>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</si>
  <si>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</si>
  <si>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</si>
  <si>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</si>
  <si>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</si>
  <si>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</si>
  <si>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</si>
  <si>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</si>
  <si>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</si>
  <si>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</si>
  <si>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</si>
  <si>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</si>
  <si>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</si>
  <si>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</si>
  <si>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</si>
  <si>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</si>
  <si>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</si>
  <si>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</si>
  <si>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</si>
  <si>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</si>
  <si>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</si>
  <si>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</si>
  <si>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</si>
  <si>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</si>
  <si>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</si>
  <si>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</si>
  <si>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</si>
  <si>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</si>
  <si>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</si>
  <si>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</si>
  <si>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</si>
  <si>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</si>
  <si>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</si>
  <si>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</si>
  <si>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</si>
  <si>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</si>
  <si>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</si>
  <si>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</si>
  <si>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</si>
  <si>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</si>
  <si>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</si>
  <si>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</si>
  <si>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</si>
  <si>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</si>
  <si>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</si>
  <si>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</si>
  <si>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</si>
  <si>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</si>
  <si>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</si>
  <si>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</si>
  <si>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</si>
  <si>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</si>
  <si>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</si>
  <si>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</si>
  <si>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</si>
  <si>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</si>
  <si>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</si>
  <si>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</si>
  <si>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</si>
  <si>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</si>
  <si>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</si>
  <si>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</si>
  <si>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</si>
  <si>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</si>
  <si>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</si>
  <si>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</si>
  <si>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</si>
  <si>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</si>
  <si>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</si>
  <si>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</si>
  <si>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</si>
  <si>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</si>
  <si>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</si>
  <si>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</si>
  <si>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</si>
  <si>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</si>
  <si>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</si>
  <si>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</si>
  <si>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</si>
  <si>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</si>
  <si>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</si>
  <si>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</si>
  <si>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</si>
  <si>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</si>
  <si>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</si>
  <si>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</si>
  <si>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</si>
  <si>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</si>
  <si>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</si>
  <si>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</si>
  <si>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</si>
  <si>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</si>
  <si>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</si>
  <si>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</si>
  <si>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</si>
  <si>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</si>
  <si>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</si>
  <si>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</si>
  <si>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</si>
  <si>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</si>
  <si>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</si>
  <si>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</si>
  <si>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</si>
  <si>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</si>
  <si>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</si>
  <si>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</si>
  <si>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</si>
  <si>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</si>
  <si>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</si>
  <si>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</si>
  <si>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</si>
  <si>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</si>
  <si>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</si>
  <si>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</si>
  <si>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</si>
  <si>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t xml:space="preserve">1. The user must only be allowed to proceed if the uploaded image passes all image-quality checks for blurriness, lighting, and resolution.
2. Once the image passes the quality checks, the image must be submitted to the Visual AI component for skin-concern analysis.
3. The image-analysis results should be retained and passed to the concern fusion stage so that they can later be combined with the questionnaire results.
4. After successful Visual AI analysis, the user must be redirected to the skin questionnaire.
</t>
  </si>
  <si>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</si>
  <si>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</si>
  <si>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</si>
  <si>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</si>
  <si>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</si>
  <si>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</si>
  <si>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</si>
  <si>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</si>
  <si>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Total Story Points</t>
  </si>
  <si>
    <t>2</t>
  </si>
  <si>
    <t>3</t>
  </si>
  <si>
    <t>4</t>
  </si>
  <si>
    <t>5</t>
  </si>
  <si>
    <t>6</t>
  </si>
  <si>
    <t>7</t>
  </si>
  <si>
    <t>8</t>
  </si>
  <si>
    <t>9</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</si>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</sst>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0">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49" fontId="0" fillId="0" borderId="1" xfId="0" applyNumberFormat="1" applyBorder="1" applyAlignment="1">
      <alignment horizontal="center" vertical="center"/>
    </xf>
    <xf numFmtId="0" fontId="0" fillId="0" borderId="1" xfId="0" applyBorder="1" applyAlignment="1">
      <alignment horizontal="center" vertic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4" borderId="0" xfId="0" applyFont="1" applyFill="1" applyAlignment="1">
      <alignment horizontal="center"/>
    </xf>
    <xf numFmtId="0" fontId="1" fillId="0" borderId="0" xfId="0" applyFont="1" applyAlignment="1">
      <alignment vertical="center" wrapText="1"/>
    </xf>
    <xf numFmtId="2" fontId="1" fillId="0" borderId="0" xfId="0" applyNumberFormat="1" applyFont="1" applyAlignment="1">
      <alignment vertical="top" wrapText="1"/>
    </xf>
    <xf numFmtId="0" fontId="1" fillId="3" borderId="0" xfId="0" applyFont="1" applyFill="1" applyAlignment="1">
      <alignment horizontal="center"/>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Chart'!$B$2:$B$10</c:f>
              <c:numCache>
                <c:formatCode>m/d/yyyy</c:formatCode>
                <c:ptCount val="9"/>
                <c:pt idx="0">
                  <c:v>46265</c:v>
                </c:pt>
                <c:pt idx="1">
                  <c:v>46266</c:v>
                </c:pt>
                <c:pt idx="2">
                  <c:v>46267</c:v>
                </c:pt>
                <c:pt idx="3">
                  <c:v>46268</c:v>
                </c:pt>
                <c:pt idx="4">
                  <c:v>46269</c:v>
                </c:pt>
                <c:pt idx="5">
                  <c:v>46272</c:v>
                </c:pt>
                <c:pt idx="6">
                  <c:v>46273</c:v>
                </c:pt>
                <c:pt idx="7">
                  <c:v>46274</c:v>
                </c:pt>
                <c:pt idx="8">
                  <c:v>46275</c:v>
                </c:pt>
              </c:numCache>
            </c:numRef>
          </c:cat>
          <c:val>
            <c:numRef>
              <c:f>'Burndown Chart'!$C$2:$C$10</c:f>
              <c:numCache>
                <c:formatCode>General</c:formatCode>
                <c:ptCount val="9"/>
                <c:pt idx="0">
                  <c:v>60</c:v>
                </c:pt>
                <c:pt idx="1">
                  <c:v>60</c:v>
                </c:pt>
                <c:pt idx="2">
                  <c:v>60</c:v>
                </c:pt>
                <c:pt idx="3">
                  <c:v>60</c:v>
                </c:pt>
                <c:pt idx="4">
                  <c:v>60</c:v>
                </c:pt>
                <c:pt idx="5">
                  <c:v>60</c:v>
                </c:pt>
                <c:pt idx="6">
                  <c:v>60</c:v>
                </c:pt>
                <c:pt idx="7">
                  <c:v>60</c:v>
                </c:pt>
                <c:pt idx="8">
                  <c:v>60</c:v>
                </c:pt>
              </c:numCache>
            </c:numRef>
          </c:val>
          <c:smooth val="0"/>
          <c:extLst>
            <c:ext xmlns:c16="http://schemas.microsoft.com/office/drawing/2014/chart" uri="{C3380CC4-5D6E-409C-BE32-E72D297353CC}">
              <c16:uniqueId val="{00000000-7C1A-409D-AABE-FDA2C642585F}"/>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Chart'!$B$2:$B$10</c:f>
              <c:numCache>
                <c:formatCode>m/d/yyyy</c:formatCode>
                <c:ptCount val="9"/>
                <c:pt idx="0">
                  <c:v>46265</c:v>
                </c:pt>
                <c:pt idx="1">
                  <c:v>46266</c:v>
                </c:pt>
                <c:pt idx="2">
                  <c:v>46267</c:v>
                </c:pt>
                <c:pt idx="3">
                  <c:v>46268</c:v>
                </c:pt>
                <c:pt idx="4">
                  <c:v>46269</c:v>
                </c:pt>
                <c:pt idx="5">
                  <c:v>46272</c:v>
                </c:pt>
                <c:pt idx="6">
                  <c:v>46273</c:v>
                </c:pt>
                <c:pt idx="7">
                  <c:v>46274</c:v>
                </c:pt>
                <c:pt idx="8">
                  <c:v>46275</c:v>
                </c:pt>
              </c:numCache>
            </c:numRef>
          </c:cat>
          <c:val>
            <c:numRef>
              <c:f>'Burndown Chart'!$D$2:$D$10</c:f>
              <c:numCache>
                <c:formatCode>@</c:formatCode>
                <c:ptCount val="9"/>
                <c:pt idx="0">
                  <c:v>60</c:v>
                </c:pt>
                <c:pt idx="1">
                  <c:v>52.5</c:v>
                </c:pt>
                <c:pt idx="2">
                  <c:v>45</c:v>
                </c:pt>
                <c:pt idx="3">
                  <c:v>37.5</c:v>
                </c:pt>
                <c:pt idx="4">
                  <c:v>30</c:v>
                </c:pt>
                <c:pt idx="5">
                  <c:v>22.5</c:v>
                </c:pt>
                <c:pt idx="6">
                  <c:v>15</c:v>
                </c:pt>
                <c:pt idx="7">
                  <c:v>7.5</c:v>
                </c:pt>
                <c:pt idx="8">
                  <c:v>0</c:v>
                </c:pt>
              </c:numCache>
            </c:numRef>
          </c:val>
          <c:smooth val="0"/>
          <c:extLst>
            <c:ext xmlns:c16="http://schemas.microsoft.com/office/drawing/2014/chart" uri="{C3380CC4-5D6E-409C-BE32-E72D297353CC}">
              <c16:uniqueId val="{00000001-7C1A-409D-AABE-FDA2C642585F}"/>
            </c:ext>
          </c:extLst>
        </c:ser>
        <c:dLbls>
          <c:showLegendKey val="0"/>
          <c:showVal val="0"/>
          <c:showCatName val="0"/>
          <c:showSerName val="0"/>
          <c:showPercent val="0"/>
          <c:showBubbleSize val="0"/>
        </c:dLbls>
        <c:smooth val="0"/>
        <c:axId val="1750665967"/>
        <c:axId val="498407599"/>
      </c:lineChart>
      <c:catAx>
        <c:axId val="1750665967"/>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07599"/>
        <c:crosses val="autoZero"/>
        <c:auto val="0"/>
        <c:lblAlgn val="ctr"/>
        <c:lblOffset val="100"/>
        <c:noMultiLvlLbl val="0"/>
      </c:catAx>
      <c:valAx>
        <c:axId val="498407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665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601980</xdr:colOff>
      <xdr:row>0</xdr:row>
      <xdr:rowOff>525780</xdr:rowOff>
    </xdr:from>
    <xdr:to>
      <xdr:col>18</xdr:col>
      <xdr:colOff>365760</xdr:colOff>
      <xdr:row>25</xdr:row>
      <xdr:rowOff>0</xdr:rowOff>
    </xdr:to>
    <xdr:graphicFrame macro="">
      <xdr:nvGraphicFramePr>
        <xdr:cNvPr id="4" name="Chart 3">
          <a:extLst>
            <a:ext uri="{FF2B5EF4-FFF2-40B4-BE49-F238E27FC236}">
              <a16:creationId xmlns:a16="http://schemas.microsoft.com/office/drawing/2014/main" id="{368878C4-32C9-AB53-5A7A-E52A81DEFE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F10"/>
  <sheetViews>
    <sheetView zoomScale="99" zoomScaleNormal="115" workbookViewId="0">
      <pane ySplit="2" topLeftCell="A3" activePane="bottomLeft" state="frozen"/>
      <selection pane="bottomLeft" activeCell="E4" sqref="E4"/>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s>
  <sheetData>
    <row r="1" spans="1:6">
      <c r="A1" s="10"/>
      <c r="B1" s="38" t="s">
        <v>6</v>
      </c>
      <c r="C1" s="38"/>
      <c r="D1" s="38"/>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172.8">
      <c r="A4" s="15">
        <v>2</v>
      </c>
      <c r="B4" s="11" t="s">
        <v>10</v>
      </c>
      <c r="C4" s="9" t="s">
        <v>55</v>
      </c>
      <c r="D4" s="1" t="s">
        <v>56</v>
      </c>
      <c r="E4" s="9" t="s">
        <v>214</v>
      </c>
    </row>
    <row r="5" spans="1:6" s="2" customFormat="1" ht="294" customHeight="1">
      <c r="A5" s="1">
        <v>3</v>
      </c>
      <c r="B5" s="17" t="s">
        <v>10</v>
      </c>
      <c r="C5" s="9" t="s">
        <v>15</v>
      </c>
      <c r="D5" s="1" t="s">
        <v>52</v>
      </c>
      <c r="E5" s="9" t="s">
        <v>51</v>
      </c>
    </row>
    <row r="6" spans="1:6" ht="86.4">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7BB0-6771-4160-B371-AE490E8879B7}">
  <dimension ref="A1:J181"/>
  <sheetViews>
    <sheetView zoomScale="95" workbookViewId="0">
      <selection activeCell="H26" sqref="H26"/>
    </sheetView>
  </sheetViews>
  <sheetFormatPr defaultRowHeight="14.4"/>
  <cols>
    <col min="2" max="2" width="11.88671875" bestFit="1" customWidth="1"/>
    <col min="3" max="3" width="14.5546875" bestFit="1" customWidth="1"/>
    <col min="4" max="4" width="74.77734375" bestFit="1" customWidth="1"/>
    <col min="5" max="5" width="11.5546875" bestFit="1" customWidth="1"/>
    <col min="6" max="6" width="11.109375" bestFit="1" customWidth="1"/>
    <col min="7" max="7" width="8.6640625" bestFit="1" customWidth="1"/>
    <col min="9" max="9" width="19.21875" bestFit="1" customWidth="1"/>
  </cols>
  <sheetData>
    <row r="1" spans="1:10">
      <c r="A1" s="35" t="s">
        <v>49</v>
      </c>
      <c r="B1" s="35"/>
      <c r="C1" s="35"/>
      <c r="D1" s="35"/>
      <c r="E1" s="35"/>
      <c r="F1" s="35"/>
      <c r="G1" s="35"/>
      <c r="H1" s="35"/>
      <c r="I1" s="35"/>
      <c r="J1" s="35"/>
    </row>
    <row r="2" spans="1:10" s="4" customFormat="1">
      <c r="A2" s="10" t="s">
        <v>5</v>
      </c>
      <c r="B2" s="10" t="s">
        <v>28</v>
      </c>
      <c r="C2" s="10" t="s">
        <v>0</v>
      </c>
      <c r="D2" s="10" t="s">
        <v>13</v>
      </c>
      <c r="E2" s="10" t="s">
        <v>54</v>
      </c>
      <c r="F2" s="10" t="s">
        <v>7</v>
      </c>
      <c r="G2" s="10" t="s">
        <v>4</v>
      </c>
      <c r="H2" s="10" t="s">
        <v>29</v>
      </c>
      <c r="I2" s="10" t="s">
        <v>3</v>
      </c>
      <c r="J2" s="10" t="s">
        <v>2</v>
      </c>
    </row>
    <row r="3" spans="1:10">
      <c r="A3" s="32">
        <v>1</v>
      </c>
      <c r="B3" s="33">
        <v>1</v>
      </c>
      <c r="C3" s="33">
        <v>1.1000000000000001</v>
      </c>
      <c r="D3" s="7" t="s">
        <v>61</v>
      </c>
      <c r="E3" s="30" t="s">
        <v>19</v>
      </c>
      <c r="F3" s="30" cm="1">
        <f t="array" ref="F3">_xlfn.SWITCH(E3,"XS",1,"S",2,"M",3,"L",5,"XL",8,"XXL",13,"XXXL",21,"")</f>
        <v>3</v>
      </c>
    </row>
    <row r="4" spans="1:10">
      <c r="A4" s="32"/>
      <c r="B4" s="33"/>
      <c r="C4" s="33"/>
      <c r="D4" s="7" t="s">
        <v>62</v>
      </c>
      <c r="E4" s="30"/>
      <c r="F4" s="30"/>
    </row>
    <row r="5" spans="1:10">
      <c r="A5" s="32"/>
      <c r="B5" s="33"/>
      <c r="C5" s="33"/>
      <c r="D5" s="7" t="s">
        <v>30</v>
      </c>
      <c r="E5" s="30"/>
      <c r="F5" s="30"/>
    </row>
    <row r="6" spans="1:10">
      <c r="A6" s="32"/>
      <c r="B6" s="33"/>
      <c r="C6" s="33"/>
      <c r="D6" s="7" t="s">
        <v>31</v>
      </c>
      <c r="E6" s="30"/>
      <c r="F6" s="30"/>
    </row>
    <row r="7" spans="1:10">
      <c r="A7" s="32"/>
      <c r="B7" s="33"/>
      <c r="C7" s="33"/>
      <c r="D7" s="7" t="s">
        <v>63</v>
      </c>
      <c r="E7" s="30"/>
      <c r="F7" s="30"/>
    </row>
    <row r="8" spans="1:10">
      <c r="A8" s="32"/>
      <c r="B8" s="33"/>
      <c r="C8" s="33"/>
      <c r="D8" s="7" t="s">
        <v>64</v>
      </c>
      <c r="E8" s="30"/>
      <c r="F8" s="30"/>
    </row>
    <row r="9" spans="1:10">
      <c r="A9" s="32"/>
      <c r="B9" s="33"/>
      <c r="C9" s="33"/>
      <c r="D9" s="7" t="s">
        <v>65</v>
      </c>
      <c r="E9" s="30"/>
      <c r="F9" s="30"/>
    </row>
    <row r="10" spans="1:10">
      <c r="A10" s="32"/>
      <c r="B10" s="33"/>
      <c r="C10" s="33"/>
      <c r="D10" s="7" t="s">
        <v>66</v>
      </c>
      <c r="E10" s="30"/>
      <c r="F10" s="30"/>
    </row>
    <row r="11" spans="1:10">
      <c r="A11" s="32"/>
      <c r="B11" s="33"/>
      <c r="C11" s="33"/>
      <c r="D11" s="7" t="s">
        <v>67</v>
      </c>
      <c r="E11" s="30"/>
      <c r="F11" s="30"/>
    </row>
    <row r="12" spans="1:10">
      <c r="A12" s="32"/>
      <c r="B12" s="33"/>
      <c r="C12" s="33">
        <v>1.2</v>
      </c>
      <c r="D12" s="7" t="s">
        <v>68</v>
      </c>
      <c r="E12" s="30" t="s">
        <v>19</v>
      </c>
      <c r="F12" s="30" cm="1">
        <f t="array" ref="F12">_xlfn.SWITCH(E3,"XS",1,"S",2,"M",3,"L",5,"XL",8,"XXL",13,"XXXL",21,"")</f>
        <v>3</v>
      </c>
    </row>
    <row r="13" spans="1:10">
      <c r="A13" s="32"/>
      <c r="B13" s="33"/>
      <c r="C13" s="33"/>
      <c r="D13" s="7" t="s">
        <v>69</v>
      </c>
      <c r="E13" s="30"/>
      <c r="F13" s="30"/>
    </row>
    <row r="14" spans="1:10">
      <c r="A14" s="32"/>
      <c r="B14" s="33"/>
      <c r="C14" s="33"/>
      <c r="D14" s="7" t="s">
        <v>70</v>
      </c>
      <c r="E14" s="30"/>
      <c r="F14" s="30"/>
    </row>
    <row r="15" spans="1:10">
      <c r="A15" s="32"/>
      <c r="B15" s="33"/>
      <c r="C15" s="33">
        <v>1.3</v>
      </c>
      <c r="D15" s="7" t="s">
        <v>71</v>
      </c>
      <c r="E15" s="30" t="s">
        <v>17</v>
      </c>
      <c r="F15" s="30"/>
    </row>
    <row r="16" spans="1:10">
      <c r="A16" s="32"/>
      <c r="B16" s="33"/>
      <c r="C16" s="33"/>
      <c r="D16" s="7" t="s">
        <v>72</v>
      </c>
      <c r="E16" s="30"/>
      <c r="F16" s="30"/>
    </row>
    <row r="17" spans="1:7">
      <c r="A17" s="32"/>
      <c r="B17" s="33"/>
      <c r="C17" s="33"/>
      <c r="D17" s="7" t="s">
        <v>73</v>
      </c>
      <c r="E17" s="30"/>
      <c r="F17" s="30"/>
    </row>
    <row r="18" spans="1:7">
      <c r="A18" s="32"/>
      <c r="B18" s="33"/>
      <c r="C18" s="33">
        <v>1.4</v>
      </c>
      <c r="D18" s="7" t="s">
        <v>74</v>
      </c>
      <c r="E18" s="30" t="s">
        <v>20</v>
      </c>
      <c r="F18" s="30"/>
    </row>
    <row r="19" spans="1:7">
      <c r="A19" s="32"/>
      <c r="B19" s="33"/>
      <c r="C19" s="33"/>
      <c r="D19" s="7" t="s">
        <v>75</v>
      </c>
      <c r="E19" s="30"/>
      <c r="F19" s="30"/>
    </row>
    <row r="20" spans="1:7">
      <c r="A20" s="32"/>
      <c r="B20" s="33"/>
      <c r="C20" s="33"/>
      <c r="D20" s="7" t="s">
        <v>76</v>
      </c>
      <c r="E20" s="30"/>
      <c r="F20" s="30"/>
    </row>
    <row r="21" spans="1:7">
      <c r="A21" s="32"/>
      <c r="B21" s="33"/>
      <c r="C21" s="33"/>
      <c r="D21" s="7" t="s">
        <v>77</v>
      </c>
      <c r="E21" s="30"/>
      <c r="F21" s="30"/>
    </row>
    <row r="22" spans="1:7">
      <c r="A22" s="32"/>
      <c r="B22" s="33"/>
      <c r="C22" s="33"/>
      <c r="D22" s="7" t="s">
        <v>78</v>
      </c>
      <c r="E22" s="30"/>
      <c r="F22" s="30"/>
    </row>
    <row r="23" spans="1:7">
      <c r="A23" s="32"/>
      <c r="B23" s="33"/>
      <c r="C23" s="33"/>
      <c r="D23" s="7" t="s">
        <v>79</v>
      </c>
      <c r="E23" s="30"/>
      <c r="F23" s="30"/>
    </row>
    <row r="24" spans="1:7">
      <c r="A24" s="32"/>
      <c r="B24" s="33"/>
      <c r="C24" s="33"/>
      <c r="D24" s="7" t="s">
        <v>80</v>
      </c>
      <c r="E24" s="30"/>
      <c r="F24" s="30"/>
    </row>
    <row r="25" spans="1:7">
      <c r="A25" s="32"/>
      <c r="B25" s="33"/>
      <c r="C25" s="33"/>
      <c r="D25" s="7" t="s">
        <v>57</v>
      </c>
      <c r="E25" s="30"/>
      <c r="F25" s="30"/>
    </row>
    <row r="26" spans="1:7">
      <c r="A26" s="32"/>
      <c r="B26" s="34">
        <v>2</v>
      </c>
      <c r="C26" s="33">
        <v>2.1</v>
      </c>
      <c r="D26" s="7" t="s">
        <v>217</v>
      </c>
      <c r="E26" s="31" t="s">
        <v>17</v>
      </c>
      <c r="F26" s="30"/>
    </row>
    <row r="27" spans="1:7">
      <c r="A27" s="32"/>
      <c r="B27" s="34"/>
      <c r="C27" s="33"/>
      <c r="D27" s="7" t="s">
        <v>215</v>
      </c>
      <c r="E27" s="31"/>
      <c r="F27" s="30"/>
    </row>
    <row r="28" spans="1:7">
      <c r="A28" s="32"/>
      <c r="B28" s="34"/>
      <c r="C28" s="33"/>
      <c r="D28" s="7" t="s">
        <v>203</v>
      </c>
      <c r="E28" s="31"/>
      <c r="F28" s="30"/>
    </row>
    <row r="29" spans="1:7">
      <c r="A29" s="32"/>
      <c r="B29" s="34"/>
      <c r="C29" s="36">
        <v>2.2000000000000002</v>
      </c>
      <c r="D29" s="7" t="s">
        <v>81</v>
      </c>
      <c r="E29" s="30" t="s">
        <v>17</v>
      </c>
      <c r="F29" s="30"/>
    </row>
    <row r="30" spans="1:7">
      <c r="A30" s="32"/>
      <c r="B30" s="34"/>
      <c r="C30" s="36"/>
      <c r="D30" s="7" t="s">
        <v>82</v>
      </c>
      <c r="E30" s="30"/>
      <c r="F30" s="30"/>
    </row>
    <row r="31" spans="1:7">
      <c r="A31" s="32"/>
      <c r="B31" s="34"/>
      <c r="C31" s="33">
        <v>2.2999999999999998</v>
      </c>
      <c r="D31" s="7" t="s">
        <v>83</v>
      </c>
      <c r="E31" s="30" t="s">
        <v>21</v>
      </c>
      <c r="F31" s="30"/>
      <c r="G31" s="30" t="s">
        <v>216</v>
      </c>
    </row>
    <row r="32" spans="1:7">
      <c r="A32" s="32"/>
      <c r="B32" s="34"/>
      <c r="C32" s="33"/>
      <c r="D32" s="7" t="s">
        <v>84</v>
      </c>
      <c r="E32" s="30"/>
      <c r="F32" s="30"/>
      <c r="G32" s="30"/>
    </row>
    <row r="33" spans="1:7">
      <c r="A33" s="32"/>
      <c r="B33" s="34"/>
      <c r="C33" s="33"/>
      <c r="D33" s="7" t="s">
        <v>85</v>
      </c>
      <c r="E33" s="30"/>
      <c r="F33" s="30"/>
      <c r="G33" s="30"/>
    </row>
    <row r="34" spans="1:7">
      <c r="A34" s="32"/>
      <c r="B34" s="34"/>
      <c r="C34" s="33"/>
      <c r="D34" s="7" t="s">
        <v>86</v>
      </c>
      <c r="E34" s="30"/>
      <c r="F34" s="30"/>
      <c r="G34" s="30"/>
    </row>
    <row r="35" spans="1:7">
      <c r="A35" s="32"/>
      <c r="B35" s="34"/>
      <c r="C35" s="33"/>
      <c r="D35" s="7" t="s">
        <v>87</v>
      </c>
      <c r="E35" s="30"/>
      <c r="F35" s="30"/>
      <c r="G35" s="30"/>
    </row>
    <row r="36" spans="1:7">
      <c r="A36" s="32"/>
      <c r="B36" s="34"/>
      <c r="C36" s="33"/>
      <c r="D36" s="7" t="s">
        <v>88</v>
      </c>
      <c r="E36" s="30"/>
      <c r="F36" s="30"/>
      <c r="G36" s="30"/>
    </row>
    <row r="37" spans="1:7">
      <c r="A37" s="32"/>
      <c r="B37" s="34"/>
      <c r="C37" s="33"/>
      <c r="D37" s="7" t="s">
        <v>89</v>
      </c>
      <c r="E37" s="30"/>
      <c r="F37" s="30"/>
      <c r="G37" s="30"/>
    </row>
    <row r="38" spans="1:7">
      <c r="A38" s="32"/>
      <c r="B38" s="34"/>
      <c r="C38" s="33">
        <v>2.4</v>
      </c>
      <c r="D38" s="7" t="s">
        <v>90</v>
      </c>
      <c r="E38" s="30" t="s">
        <v>20</v>
      </c>
      <c r="F38" s="30"/>
    </row>
    <row r="39" spans="1:7">
      <c r="A39" s="32"/>
      <c r="B39" s="34"/>
      <c r="C39" s="33"/>
      <c r="D39" s="7" t="s">
        <v>91</v>
      </c>
      <c r="E39" s="30"/>
      <c r="F39" s="30"/>
    </row>
    <row r="40" spans="1:7">
      <c r="A40" s="32"/>
      <c r="B40" s="34"/>
      <c r="C40" s="33"/>
      <c r="D40" s="7" t="s">
        <v>92</v>
      </c>
      <c r="E40" s="30"/>
      <c r="F40" s="30"/>
    </row>
    <row r="41" spans="1:7">
      <c r="A41" s="32"/>
      <c r="B41" s="34"/>
      <c r="C41" s="33"/>
      <c r="D41" s="7" t="s">
        <v>33</v>
      </c>
      <c r="E41" s="30"/>
      <c r="F41" s="30"/>
    </row>
    <row r="42" spans="1:7">
      <c r="A42" s="32"/>
      <c r="B42" s="34"/>
      <c r="C42" s="33"/>
      <c r="D42" s="7" t="s">
        <v>93</v>
      </c>
      <c r="E42" s="30"/>
      <c r="F42" s="30"/>
    </row>
    <row r="43" spans="1:7">
      <c r="A43" s="32"/>
      <c r="B43" s="34"/>
      <c r="C43" s="33"/>
      <c r="D43" s="7" t="s">
        <v>94</v>
      </c>
      <c r="E43" s="30"/>
      <c r="F43" s="30"/>
    </row>
    <row r="44" spans="1:7">
      <c r="A44" s="32"/>
      <c r="B44" s="34"/>
      <c r="C44" s="33"/>
      <c r="D44" s="7" t="s">
        <v>95</v>
      </c>
      <c r="E44" s="30"/>
      <c r="F44" s="30"/>
    </row>
    <row r="45" spans="1:7">
      <c r="A45" s="32"/>
      <c r="B45" s="34"/>
      <c r="C45" s="33"/>
      <c r="D45" s="7" t="s">
        <v>96</v>
      </c>
      <c r="E45" s="30"/>
      <c r="F45" s="30"/>
    </row>
    <row r="46" spans="1:7">
      <c r="A46" s="32"/>
      <c r="B46" s="34"/>
      <c r="C46" s="33">
        <v>2.5</v>
      </c>
      <c r="D46" s="7" t="s">
        <v>204</v>
      </c>
      <c r="E46" s="31" t="s">
        <v>18</v>
      </c>
      <c r="F46" s="30"/>
    </row>
    <row r="47" spans="1:7">
      <c r="A47" s="32"/>
      <c r="B47" s="34"/>
      <c r="C47" s="33"/>
      <c r="D47" s="7" t="s">
        <v>97</v>
      </c>
      <c r="E47" s="31"/>
      <c r="F47" s="30"/>
    </row>
    <row r="48" spans="1:7">
      <c r="A48" s="32"/>
      <c r="B48" s="34"/>
      <c r="C48" s="33"/>
      <c r="D48" s="7" t="s">
        <v>98</v>
      </c>
      <c r="E48" s="31"/>
      <c r="F48" s="30"/>
    </row>
    <row r="49" spans="1:6">
      <c r="A49" s="32"/>
      <c r="B49" s="34"/>
      <c r="C49" s="33"/>
      <c r="D49" s="7" t="s">
        <v>99</v>
      </c>
      <c r="E49" s="31"/>
      <c r="F49" s="30"/>
    </row>
    <row r="50" spans="1:6">
      <c r="A50" s="32"/>
      <c r="B50" s="34"/>
      <c r="C50" s="33">
        <v>2.7</v>
      </c>
      <c r="D50" s="7" t="s">
        <v>100</v>
      </c>
      <c r="E50" s="30" t="s">
        <v>20</v>
      </c>
      <c r="F50" s="30"/>
    </row>
    <row r="51" spans="1:6">
      <c r="A51" s="32"/>
      <c r="B51" s="34"/>
      <c r="C51" s="33"/>
      <c r="D51" s="7" t="s">
        <v>101</v>
      </c>
      <c r="E51" s="30"/>
      <c r="F51" s="30"/>
    </row>
    <row r="52" spans="1:6">
      <c r="A52" s="32"/>
      <c r="B52" s="34"/>
      <c r="C52" s="33"/>
      <c r="D52" s="7" t="s">
        <v>102</v>
      </c>
      <c r="E52" s="30"/>
      <c r="F52" s="30"/>
    </row>
    <row r="53" spans="1:6">
      <c r="A53" s="32"/>
      <c r="B53" s="34"/>
      <c r="C53" s="33"/>
      <c r="D53" s="7" t="s">
        <v>103</v>
      </c>
      <c r="E53" s="30"/>
      <c r="F53" s="30"/>
    </row>
    <row r="54" spans="1:6">
      <c r="A54" s="32"/>
      <c r="B54" s="34"/>
      <c r="C54" s="33"/>
      <c r="D54" s="7" t="s">
        <v>104</v>
      </c>
      <c r="E54" s="30"/>
      <c r="F54" s="30"/>
    </row>
    <row r="55" spans="1:6">
      <c r="A55" s="32"/>
      <c r="B55" s="34"/>
      <c r="C55" s="33"/>
      <c r="D55" s="7" t="s">
        <v>105</v>
      </c>
      <c r="E55" s="30"/>
      <c r="F55" s="30"/>
    </row>
    <row r="56" spans="1:6">
      <c r="A56" s="32"/>
      <c r="B56" s="34"/>
      <c r="C56" s="33"/>
      <c r="D56" s="7" t="s">
        <v>106</v>
      </c>
      <c r="E56" s="30"/>
      <c r="F56" s="30"/>
    </row>
    <row r="57" spans="1:6">
      <c r="A57" s="32"/>
      <c r="B57" s="34"/>
      <c r="C57" s="33"/>
      <c r="D57" s="7" t="s">
        <v>107</v>
      </c>
      <c r="E57" s="30"/>
      <c r="F57" s="30"/>
    </row>
    <row r="58" spans="1:6">
      <c r="A58" s="32"/>
      <c r="B58" s="34"/>
      <c r="C58" s="33"/>
      <c r="D58" s="7" t="s">
        <v>58</v>
      </c>
      <c r="E58" s="30"/>
      <c r="F58" s="30"/>
    </row>
    <row r="59" spans="1:6">
      <c r="A59" s="20"/>
      <c r="B59" s="33">
        <v>3</v>
      </c>
      <c r="C59" s="33">
        <v>3.1</v>
      </c>
      <c r="D59" s="7" t="s">
        <v>108</v>
      </c>
    </row>
    <row r="60" spans="1:6">
      <c r="A60" s="19"/>
      <c r="B60" s="33"/>
      <c r="C60" s="33"/>
      <c r="D60" s="7" t="s">
        <v>109</v>
      </c>
    </row>
    <row r="61" spans="1:6">
      <c r="A61" s="19"/>
      <c r="B61" s="33"/>
      <c r="C61" s="33"/>
      <c r="D61" s="7" t="s">
        <v>110</v>
      </c>
    </row>
    <row r="62" spans="1:6">
      <c r="A62" s="19"/>
      <c r="B62" s="33"/>
      <c r="C62" s="33"/>
      <c r="D62" s="7" t="s">
        <v>205</v>
      </c>
    </row>
    <row r="63" spans="1:6">
      <c r="A63" s="19"/>
      <c r="B63" s="33"/>
      <c r="C63" s="33"/>
      <c r="D63" s="7" t="s">
        <v>206</v>
      </c>
    </row>
    <row r="64" spans="1:6">
      <c r="A64" s="19"/>
      <c r="B64" s="33"/>
      <c r="C64" s="33"/>
      <c r="D64" s="7" t="s">
        <v>111</v>
      </c>
    </row>
    <row r="65" spans="1:4">
      <c r="A65" s="19"/>
      <c r="B65" s="33"/>
      <c r="C65" s="33">
        <v>3.2</v>
      </c>
      <c r="D65" s="7" t="s">
        <v>112</v>
      </c>
    </row>
    <row r="66" spans="1:4">
      <c r="A66" s="19"/>
      <c r="B66" s="33"/>
      <c r="C66" s="33"/>
      <c r="D66" s="7" t="s">
        <v>113</v>
      </c>
    </row>
    <row r="67" spans="1:4">
      <c r="A67" s="19"/>
      <c r="B67" s="33"/>
      <c r="C67" s="33"/>
      <c r="D67" s="7" t="s">
        <v>34</v>
      </c>
    </row>
    <row r="68" spans="1:4">
      <c r="A68" s="19"/>
      <c r="B68" s="33"/>
      <c r="C68" s="33"/>
      <c r="D68" s="7" t="s">
        <v>114</v>
      </c>
    </row>
    <row r="69" spans="1:4">
      <c r="A69" s="19"/>
      <c r="B69" s="33"/>
      <c r="C69" s="33"/>
      <c r="D69" s="7" t="s">
        <v>115</v>
      </c>
    </row>
    <row r="70" spans="1:4">
      <c r="A70" s="19"/>
      <c r="B70" s="33"/>
      <c r="C70" s="33"/>
      <c r="D70" s="7" t="s">
        <v>116</v>
      </c>
    </row>
    <row r="71" spans="1:4">
      <c r="A71" s="19"/>
      <c r="B71" s="33"/>
      <c r="C71" s="33"/>
      <c r="D71" s="7" t="s">
        <v>117</v>
      </c>
    </row>
    <row r="72" spans="1:4">
      <c r="A72" s="19"/>
      <c r="B72" s="33"/>
      <c r="C72" s="33"/>
      <c r="D72" s="7" t="s">
        <v>32</v>
      </c>
    </row>
    <row r="73" spans="1:4">
      <c r="A73" s="19"/>
      <c r="B73" s="33"/>
      <c r="C73" s="33"/>
      <c r="D73" s="7" t="s">
        <v>118</v>
      </c>
    </row>
    <row r="74" spans="1:4">
      <c r="A74" s="19"/>
      <c r="B74" s="33"/>
      <c r="C74" s="33"/>
      <c r="D74" s="7" t="s">
        <v>207</v>
      </c>
    </row>
    <row r="75" spans="1:4">
      <c r="A75" s="19"/>
      <c r="B75" s="33"/>
      <c r="C75" s="33"/>
      <c r="D75" s="7" t="s">
        <v>119</v>
      </c>
    </row>
    <row r="76" spans="1:4">
      <c r="A76" s="19"/>
      <c r="B76" s="33"/>
      <c r="C76" s="33"/>
      <c r="D76" s="7" t="s">
        <v>99</v>
      </c>
    </row>
    <row r="77" spans="1:4">
      <c r="A77" s="19"/>
      <c r="B77" s="33"/>
      <c r="C77" s="33">
        <v>3.3</v>
      </c>
      <c r="D77" s="7" t="s">
        <v>120</v>
      </c>
    </row>
    <row r="78" spans="1:4">
      <c r="A78" s="19"/>
      <c r="B78" s="33"/>
      <c r="C78" s="33"/>
      <c r="D78" s="7" t="s">
        <v>121</v>
      </c>
    </row>
    <row r="79" spans="1:4">
      <c r="A79" s="19"/>
      <c r="B79" s="33"/>
      <c r="C79" s="33"/>
      <c r="D79" s="7" t="s">
        <v>122</v>
      </c>
    </row>
    <row r="80" spans="1:4">
      <c r="A80" s="19"/>
      <c r="B80" s="33"/>
      <c r="C80" s="33"/>
      <c r="D80" s="7" t="s">
        <v>123</v>
      </c>
    </row>
    <row r="81" spans="1:4">
      <c r="A81" s="19"/>
      <c r="B81" s="33"/>
      <c r="C81" s="33"/>
      <c r="D81" s="7" t="s">
        <v>124</v>
      </c>
    </row>
    <row r="82" spans="1:4">
      <c r="A82" s="19"/>
      <c r="B82" s="33"/>
      <c r="C82" s="33"/>
      <c r="D82" s="7" t="s">
        <v>208</v>
      </c>
    </row>
    <row r="83" spans="1:4">
      <c r="A83" s="19"/>
      <c r="B83" s="33"/>
      <c r="C83" s="33"/>
      <c r="D83" s="7" t="s">
        <v>125</v>
      </c>
    </row>
    <row r="84" spans="1:4">
      <c r="A84" s="19"/>
      <c r="B84" s="33"/>
      <c r="C84" s="33"/>
      <c r="D84" s="7" t="s">
        <v>126</v>
      </c>
    </row>
    <row r="85" spans="1:4">
      <c r="A85" s="19"/>
      <c r="B85" s="33"/>
      <c r="C85" s="33"/>
      <c r="D85" s="7" t="s">
        <v>127</v>
      </c>
    </row>
    <row r="86" spans="1:4">
      <c r="A86" s="19"/>
      <c r="B86" s="33"/>
      <c r="C86" s="33"/>
      <c r="D86" s="7" t="s">
        <v>128</v>
      </c>
    </row>
    <row r="87" spans="1:4">
      <c r="A87" s="19"/>
      <c r="B87" s="33"/>
      <c r="C87" s="33"/>
      <c r="D87" s="7" t="s">
        <v>129</v>
      </c>
    </row>
    <row r="88" spans="1:4">
      <c r="A88" s="19"/>
      <c r="B88" s="33"/>
      <c r="C88" s="33">
        <v>3.4</v>
      </c>
      <c r="D88" s="15" t="s">
        <v>130</v>
      </c>
    </row>
    <row r="89" spans="1:4">
      <c r="A89" s="19"/>
      <c r="B89" s="33"/>
      <c r="C89" s="33"/>
      <c r="D89" s="7" t="s">
        <v>209</v>
      </c>
    </row>
    <row r="90" spans="1:4">
      <c r="A90" s="19"/>
      <c r="B90" s="33"/>
      <c r="C90" s="33"/>
      <c r="D90" s="7" t="s">
        <v>131</v>
      </c>
    </row>
    <row r="91" spans="1:4">
      <c r="A91" s="19"/>
      <c r="B91" s="33"/>
      <c r="C91" s="33"/>
      <c r="D91" s="7" t="s">
        <v>132</v>
      </c>
    </row>
    <row r="92" spans="1:4">
      <c r="A92" s="19"/>
      <c r="B92" s="33"/>
      <c r="C92" s="33"/>
      <c r="D92" s="7" t="s">
        <v>133</v>
      </c>
    </row>
    <row r="93" spans="1:4">
      <c r="A93" s="19"/>
      <c r="B93" s="33"/>
      <c r="C93" s="33"/>
      <c r="D93" s="7" t="s">
        <v>134</v>
      </c>
    </row>
    <row r="94" spans="1:4">
      <c r="A94" s="19"/>
      <c r="B94" s="33"/>
      <c r="C94" s="33"/>
      <c r="D94" s="7" t="s">
        <v>135</v>
      </c>
    </row>
    <row r="95" spans="1:4">
      <c r="A95" s="19"/>
      <c r="B95" s="33"/>
      <c r="C95" s="33"/>
      <c r="D95" s="7" t="s">
        <v>136</v>
      </c>
    </row>
    <row r="96" spans="1:4">
      <c r="A96" s="19"/>
      <c r="B96" s="33"/>
      <c r="C96" s="33"/>
      <c r="D96" s="7" t="s">
        <v>137</v>
      </c>
    </row>
    <row r="97" spans="1:4">
      <c r="A97" s="19"/>
      <c r="B97" s="33"/>
      <c r="C97" s="33"/>
      <c r="D97" s="7" t="s">
        <v>138</v>
      </c>
    </row>
    <row r="98" spans="1:4">
      <c r="A98" s="19"/>
      <c r="B98" s="33"/>
      <c r="C98" s="33"/>
      <c r="D98" s="7" t="s">
        <v>139</v>
      </c>
    </row>
    <row r="99" spans="1:4">
      <c r="A99" s="19"/>
      <c r="B99" s="33"/>
      <c r="C99" s="33"/>
      <c r="D99" s="7" t="s">
        <v>140</v>
      </c>
    </row>
    <row r="100" spans="1:4">
      <c r="A100" s="19"/>
      <c r="B100" s="33"/>
      <c r="C100" s="33"/>
      <c r="D100" s="7" t="s">
        <v>141</v>
      </c>
    </row>
    <row r="101" spans="1:4">
      <c r="A101" s="19"/>
      <c r="B101" s="33"/>
      <c r="C101" s="33">
        <v>3.5</v>
      </c>
      <c r="D101" s="11" t="s">
        <v>142</v>
      </c>
    </row>
    <row r="102" spans="1:4">
      <c r="A102" s="19"/>
      <c r="B102" s="33"/>
      <c r="C102" s="33"/>
      <c r="D102" s="7" t="s">
        <v>143</v>
      </c>
    </row>
    <row r="103" spans="1:4">
      <c r="A103" s="19"/>
      <c r="B103" s="33"/>
      <c r="C103" s="33"/>
      <c r="D103" s="7" t="s">
        <v>144</v>
      </c>
    </row>
    <row r="104" spans="1:4">
      <c r="A104" s="19"/>
      <c r="B104" s="33"/>
      <c r="C104" s="33"/>
      <c r="D104" s="7" t="s">
        <v>145</v>
      </c>
    </row>
    <row r="105" spans="1:4">
      <c r="A105" s="19"/>
      <c r="B105" s="33"/>
      <c r="C105" s="33"/>
      <c r="D105" s="7" t="s">
        <v>146</v>
      </c>
    </row>
    <row r="106" spans="1:4">
      <c r="A106" s="19"/>
      <c r="B106" s="33"/>
      <c r="C106" s="33"/>
      <c r="D106" s="7" t="s">
        <v>147</v>
      </c>
    </row>
    <row r="107" spans="1:4">
      <c r="A107" s="19"/>
      <c r="B107" s="33"/>
      <c r="C107" s="33"/>
      <c r="D107" s="7" t="s">
        <v>148</v>
      </c>
    </row>
    <row r="108" spans="1:4">
      <c r="A108" s="19"/>
      <c r="B108" s="33"/>
      <c r="C108" s="33"/>
      <c r="D108" s="7" t="s">
        <v>149</v>
      </c>
    </row>
    <row r="109" spans="1:4">
      <c r="A109" s="19"/>
      <c r="B109" s="33"/>
      <c r="C109" s="33"/>
      <c r="D109" s="7" t="s">
        <v>150</v>
      </c>
    </row>
    <row r="110" spans="1:4">
      <c r="A110" s="19"/>
      <c r="B110" s="33"/>
      <c r="C110" s="33">
        <v>3.6</v>
      </c>
      <c r="D110" s="7" t="s">
        <v>210</v>
      </c>
    </row>
    <row r="111" spans="1:4">
      <c r="A111" s="19"/>
      <c r="B111" s="33"/>
      <c r="C111" s="33"/>
      <c r="D111" s="7" t="s">
        <v>211</v>
      </c>
    </row>
    <row r="112" spans="1:4">
      <c r="A112" s="19"/>
      <c r="B112" s="33"/>
      <c r="C112" s="33"/>
      <c r="D112" s="7" t="s">
        <v>212</v>
      </c>
    </row>
    <row r="113" spans="1:4">
      <c r="A113" s="19"/>
      <c r="B113" s="33"/>
      <c r="C113" s="33"/>
      <c r="D113" s="7" t="s">
        <v>151</v>
      </c>
    </row>
    <row r="114" spans="1:4">
      <c r="A114" s="19"/>
      <c r="B114" s="33"/>
      <c r="C114" s="33"/>
      <c r="D114" s="7" t="s">
        <v>152</v>
      </c>
    </row>
    <row r="115" spans="1:4">
      <c r="A115" s="19"/>
      <c r="B115" s="33"/>
      <c r="C115" s="33"/>
      <c r="D115" s="7" t="s">
        <v>213</v>
      </c>
    </row>
    <row r="116" spans="1:4">
      <c r="A116" s="19"/>
      <c r="B116" s="33"/>
      <c r="C116" s="33">
        <v>3.7</v>
      </c>
      <c r="D116" s="7" t="s">
        <v>153</v>
      </c>
    </row>
    <row r="117" spans="1:4">
      <c r="A117" s="19"/>
      <c r="B117" s="33"/>
      <c r="C117" s="33"/>
      <c r="D117" s="7" t="s">
        <v>154</v>
      </c>
    </row>
    <row r="118" spans="1:4">
      <c r="A118" s="19"/>
      <c r="B118" s="33"/>
      <c r="C118" s="33"/>
      <c r="D118" s="7" t="s">
        <v>155</v>
      </c>
    </row>
    <row r="119" spans="1:4">
      <c r="A119" s="19"/>
      <c r="B119" s="33"/>
      <c r="C119" s="33"/>
      <c r="D119" s="7" t="s">
        <v>156</v>
      </c>
    </row>
    <row r="120" spans="1:4">
      <c r="A120" s="19"/>
      <c r="B120" s="33"/>
      <c r="C120" s="33"/>
      <c r="D120" s="7" t="s">
        <v>157</v>
      </c>
    </row>
    <row r="121" spans="1:4">
      <c r="A121" s="19"/>
      <c r="B121" s="33"/>
      <c r="C121" s="33"/>
      <c r="D121" s="7" t="s">
        <v>158</v>
      </c>
    </row>
    <row r="122" spans="1:4">
      <c r="A122" s="19"/>
      <c r="B122" s="33"/>
      <c r="C122" s="33"/>
      <c r="D122" s="7" t="s">
        <v>159</v>
      </c>
    </row>
    <row r="123" spans="1:4">
      <c r="A123" s="19"/>
      <c r="B123" s="33"/>
      <c r="C123" s="33"/>
      <c r="D123" s="7" t="s">
        <v>160</v>
      </c>
    </row>
    <row r="124" spans="1:4">
      <c r="A124" s="19"/>
      <c r="B124" s="33"/>
      <c r="C124" s="33"/>
      <c r="D124" s="7" t="s">
        <v>161</v>
      </c>
    </row>
    <row r="125" spans="1:4">
      <c r="A125" s="19"/>
      <c r="B125" s="33"/>
      <c r="C125" s="33"/>
      <c r="D125" s="7" t="s">
        <v>162</v>
      </c>
    </row>
    <row r="126" spans="1:4">
      <c r="A126" s="19"/>
      <c r="B126" s="33"/>
      <c r="C126" s="33"/>
      <c r="D126" s="7" t="s">
        <v>163</v>
      </c>
    </row>
    <row r="127" spans="1:4">
      <c r="A127" s="19"/>
      <c r="B127" s="33"/>
      <c r="C127" s="33">
        <v>3.8</v>
      </c>
      <c r="D127" s="7" t="s">
        <v>36</v>
      </c>
    </row>
    <row r="128" spans="1:4">
      <c r="A128" s="19"/>
      <c r="B128" s="33"/>
      <c r="C128" s="33"/>
      <c r="D128" s="7" t="s">
        <v>37</v>
      </c>
    </row>
    <row r="129" spans="1:4">
      <c r="A129" s="19"/>
      <c r="B129" s="33"/>
      <c r="C129" s="33"/>
      <c r="D129" s="7" t="s">
        <v>164</v>
      </c>
    </row>
    <row r="130" spans="1:4">
      <c r="A130" s="19"/>
      <c r="B130" s="33"/>
      <c r="C130" s="33"/>
      <c r="D130" s="7" t="s">
        <v>38</v>
      </c>
    </row>
    <row r="131" spans="1:4">
      <c r="A131" s="19"/>
      <c r="B131" s="33"/>
      <c r="C131" s="33"/>
      <c r="D131" s="7" t="s">
        <v>39</v>
      </c>
    </row>
    <row r="132" spans="1:4">
      <c r="A132" s="19"/>
      <c r="B132" s="33"/>
      <c r="C132" s="33"/>
      <c r="D132" s="7" t="s">
        <v>40</v>
      </c>
    </row>
    <row r="133" spans="1:4">
      <c r="A133" s="19"/>
      <c r="B133" s="33"/>
      <c r="C133" s="33"/>
      <c r="D133" s="7" t="s">
        <v>41</v>
      </c>
    </row>
    <row r="134" spans="1:4">
      <c r="A134" s="19"/>
      <c r="B134" s="33"/>
      <c r="C134" s="33"/>
      <c r="D134" s="7" t="s">
        <v>42</v>
      </c>
    </row>
    <row r="135" spans="1:4">
      <c r="A135" s="19"/>
      <c r="B135" s="33"/>
      <c r="C135" s="33"/>
      <c r="D135" s="7" t="s">
        <v>43</v>
      </c>
    </row>
    <row r="136" spans="1:4">
      <c r="A136" s="19"/>
      <c r="B136" s="33"/>
      <c r="C136" s="33"/>
      <c r="D136" s="7" t="s">
        <v>165</v>
      </c>
    </row>
    <row r="137" spans="1:4">
      <c r="A137" s="19"/>
      <c r="B137" s="33"/>
      <c r="C137" s="33">
        <v>3.9</v>
      </c>
      <c r="D137" s="7" t="s">
        <v>166</v>
      </c>
    </row>
    <row r="138" spans="1:4">
      <c r="A138" s="19"/>
      <c r="B138" s="33"/>
      <c r="C138" s="33"/>
      <c r="D138" s="7" t="s">
        <v>35</v>
      </c>
    </row>
    <row r="139" spans="1:4">
      <c r="A139" s="19"/>
      <c r="B139" s="33"/>
      <c r="C139" s="33"/>
      <c r="D139" s="7" t="s">
        <v>167</v>
      </c>
    </row>
    <row r="140" spans="1:4">
      <c r="A140" s="19"/>
      <c r="B140" s="33"/>
      <c r="C140" s="33"/>
      <c r="D140" s="7" t="s">
        <v>168</v>
      </c>
    </row>
    <row r="141" spans="1:4">
      <c r="A141" s="19"/>
      <c r="B141" s="33"/>
      <c r="C141" s="33"/>
      <c r="D141" s="7" t="s">
        <v>169</v>
      </c>
    </row>
    <row r="142" spans="1:4">
      <c r="A142" s="19"/>
      <c r="B142" s="33"/>
      <c r="C142" s="37">
        <v>3.1</v>
      </c>
      <c r="D142" s="7" t="s">
        <v>170</v>
      </c>
    </row>
    <row r="143" spans="1:4">
      <c r="A143" s="19"/>
      <c r="B143" s="33"/>
      <c r="C143" s="37"/>
      <c r="D143" s="7" t="s">
        <v>171</v>
      </c>
    </row>
    <row r="144" spans="1:4">
      <c r="A144" s="19"/>
      <c r="B144" s="33"/>
      <c r="C144" s="37"/>
      <c r="D144" s="7" t="s">
        <v>172</v>
      </c>
    </row>
    <row r="145" spans="1:4">
      <c r="A145" s="19"/>
      <c r="B145" s="33"/>
      <c r="C145" s="37"/>
      <c r="D145" s="7" t="s">
        <v>173</v>
      </c>
    </row>
    <row r="146" spans="1:4">
      <c r="A146" s="19"/>
      <c r="B146" s="33"/>
      <c r="C146" s="37"/>
      <c r="D146" s="7" t="s">
        <v>174</v>
      </c>
    </row>
    <row r="147" spans="1:4">
      <c r="A147" s="19"/>
      <c r="B147" s="33"/>
      <c r="C147" s="37"/>
      <c r="D147" s="7" t="s">
        <v>175</v>
      </c>
    </row>
    <row r="148" spans="1:4">
      <c r="A148" s="19"/>
      <c r="B148" s="33"/>
      <c r="C148" s="37"/>
      <c r="D148" s="7" t="s">
        <v>176</v>
      </c>
    </row>
    <row r="149" spans="1:4">
      <c r="A149" s="19"/>
      <c r="B149" s="33"/>
      <c r="C149" s="37"/>
      <c r="D149" s="7" t="s">
        <v>177</v>
      </c>
    </row>
    <row r="150" spans="1:4">
      <c r="A150" s="19"/>
      <c r="B150" s="33"/>
      <c r="C150" s="37"/>
      <c r="D150" s="7" t="s">
        <v>178</v>
      </c>
    </row>
    <row r="151" spans="1:4">
      <c r="A151" s="19"/>
      <c r="B151" s="33"/>
      <c r="C151" s="37"/>
      <c r="D151" s="7" t="s">
        <v>179</v>
      </c>
    </row>
    <row r="152" spans="1:4">
      <c r="A152" s="19"/>
      <c r="B152" s="33"/>
      <c r="C152" s="37"/>
      <c r="D152" s="7" t="s">
        <v>180</v>
      </c>
    </row>
    <row r="153" spans="1:4">
      <c r="A153" s="19"/>
      <c r="B153" s="33"/>
      <c r="C153" s="37"/>
      <c r="D153" s="7" t="s">
        <v>181</v>
      </c>
    </row>
    <row r="154" spans="1:4">
      <c r="A154" s="19"/>
      <c r="B154" s="33"/>
      <c r="C154" s="37"/>
      <c r="D154" s="7" t="s">
        <v>182</v>
      </c>
    </row>
    <row r="155" spans="1:4">
      <c r="A155" s="19"/>
      <c r="B155" s="33"/>
      <c r="C155" s="37"/>
      <c r="D155" s="7" t="s">
        <v>183</v>
      </c>
    </row>
    <row r="156" spans="1:4">
      <c r="A156" s="19"/>
      <c r="B156" s="33"/>
      <c r="C156" s="37"/>
      <c r="D156" s="7" t="s">
        <v>59</v>
      </c>
    </row>
    <row r="157" spans="1:4">
      <c r="A157" s="20"/>
      <c r="B157" s="33">
        <v>4</v>
      </c>
      <c r="C157" s="33">
        <v>4.0999999999999996</v>
      </c>
      <c r="D157" s="7" t="s">
        <v>184</v>
      </c>
    </row>
    <row r="158" spans="1:4">
      <c r="A158" s="19"/>
      <c r="B158" s="33"/>
      <c r="C158" s="33"/>
      <c r="D158" s="7" t="s">
        <v>185</v>
      </c>
    </row>
    <row r="159" spans="1:4">
      <c r="A159" s="19"/>
      <c r="B159" s="33"/>
      <c r="C159" s="33"/>
      <c r="D159" s="7" t="s">
        <v>186</v>
      </c>
    </row>
    <row r="160" spans="1:4">
      <c r="A160" s="19"/>
      <c r="B160" s="33"/>
      <c r="C160" s="33"/>
      <c r="D160" s="7" t="s">
        <v>187</v>
      </c>
    </row>
    <row r="161" spans="1:4">
      <c r="A161" s="19"/>
      <c r="B161" s="33"/>
      <c r="C161" s="33">
        <v>4.2</v>
      </c>
      <c r="D161" s="7" t="s">
        <v>188</v>
      </c>
    </row>
    <row r="162" spans="1:4">
      <c r="A162" s="19"/>
      <c r="B162" s="33"/>
      <c r="C162" s="33"/>
      <c r="D162" s="7" t="s">
        <v>189</v>
      </c>
    </row>
    <row r="163" spans="1:4">
      <c r="A163" s="19"/>
      <c r="B163" s="33"/>
      <c r="C163" s="33"/>
      <c r="D163" s="7" t="s">
        <v>190</v>
      </c>
    </row>
    <row r="164" spans="1:4">
      <c r="A164" s="19"/>
      <c r="B164" s="33"/>
      <c r="C164" s="33"/>
      <c r="D164" s="7" t="s">
        <v>44</v>
      </c>
    </row>
    <row r="165" spans="1:4">
      <c r="A165" s="19"/>
      <c r="B165" s="33"/>
      <c r="C165" s="33"/>
      <c r="D165" s="7" t="s">
        <v>191</v>
      </c>
    </row>
    <row r="166" spans="1:4">
      <c r="A166" s="19"/>
      <c r="B166" s="33"/>
      <c r="C166" s="33"/>
      <c r="D166" s="7" t="s">
        <v>192</v>
      </c>
    </row>
    <row r="167" spans="1:4">
      <c r="A167" s="19"/>
      <c r="B167" s="33"/>
      <c r="C167" s="33"/>
      <c r="D167" s="7" t="s">
        <v>45</v>
      </c>
    </row>
    <row r="168" spans="1:4">
      <c r="A168" s="19"/>
      <c r="B168" s="33"/>
      <c r="C168" s="33">
        <v>4.3</v>
      </c>
      <c r="D168" s="7" t="s">
        <v>46</v>
      </c>
    </row>
    <row r="169" spans="1:4">
      <c r="A169" s="19"/>
      <c r="B169" s="33"/>
      <c r="C169" s="33"/>
      <c r="D169" s="7" t="s">
        <v>47</v>
      </c>
    </row>
    <row r="170" spans="1:4">
      <c r="A170" s="19"/>
      <c r="B170" s="33"/>
      <c r="C170" s="33"/>
      <c r="D170" s="7" t="s">
        <v>193</v>
      </c>
    </row>
    <row r="171" spans="1:4">
      <c r="A171" s="19"/>
      <c r="B171" s="33"/>
      <c r="C171" s="33"/>
      <c r="D171" s="7" t="s">
        <v>194</v>
      </c>
    </row>
    <row r="172" spans="1:4">
      <c r="A172" s="19"/>
      <c r="B172" s="33"/>
      <c r="C172" s="33"/>
      <c r="D172" s="7" t="s">
        <v>195</v>
      </c>
    </row>
    <row r="173" spans="1:4">
      <c r="A173" s="19"/>
      <c r="B173" s="33"/>
      <c r="C173" s="33"/>
      <c r="D173" s="7" t="s">
        <v>48</v>
      </c>
    </row>
    <row r="174" spans="1:4">
      <c r="A174" s="19"/>
      <c r="B174" s="33"/>
      <c r="C174" s="33">
        <v>4.4000000000000004</v>
      </c>
      <c r="D174" s="7" t="s">
        <v>196</v>
      </c>
    </row>
    <row r="175" spans="1:4">
      <c r="A175" s="19"/>
      <c r="B175" s="33"/>
      <c r="C175" s="33"/>
      <c r="D175" s="7" t="s">
        <v>197</v>
      </c>
    </row>
    <row r="176" spans="1:4">
      <c r="A176" s="19"/>
      <c r="B176" s="33"/>
      <c r="C176" s="33"/>
      <c r="D176" s="7" t="s">
        <v>198</v>
      </c>
    </row>
    <row r="177" spans="1:4">
      <c r="A177" s="19"/>
      <c r="B177" s="33"/>
      <c r="C177" s="33"/>
      <c r="D177" s="7" t="s">
        <v>199</v>
      </c>
    </row>
    <row r="178" spans="1:4">
      <c r="A178" s="19"/>
      <c r="B178" s="33"/>
      <c r="C178" s="33"/>
      <c r="D178" s="7" t="s">
        <v>200</v>
      </c>
    </row>
    <row r="179" spans="1:4">
      <c r="A179" s="19"/>
      <c r="B179" s="33"/>
      <c r="C179" s="33"/>
      <c r="D179" s="7" t="s">
        <v>201</v>
      </c>
    </row>
    <row r="180" spans="1:4">
      <c r="A180" s="19"/>
      <c r="B180" s="33"/>
      <c r="C180" s="33"/>
      <c r="D180" s="7" t="s">
        <v>202</v>
      </c>
    </row>
    <row r="181" spans="1:4">
      <c r="A181" s="19"/>
      <c r="B181" s="33"/>
      <c r="C181" s="33"/>
      <c r="D181" s="7" t="s">
        <v>60</v>
      </c>
    </row>
  </sheetData>
  <autoFilter ref="A2:J181" xr:uid="{F0DC7BB0-6771-4160-B371-AE490E8879B7}"/>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87AEC-DE6A-4BD3-B656-5E86DF79D39A}">
  <dimension ref="A1:F11"/>
  <sheetViews>
    <sheetView tabSelected="1" workbookViewId="0">
      <selection activeCell="A21" sqref="A21"/>
    </sheetView>
  </sheetViews>
  <sheetFormatPr defaultRowHeight="14.4"/>
  <cols>
    <col min="1" max="1" width="4.88671875" style="21" bestFit="1" customWidth="1"/>
    <col min="2" max="2" width="10.33203125" bestFit="1" customWidth="1"/>
    <col min="3" max="6" width="10.77734375" style="3" customWidth="1"/>
  </cols>
  <sheetData>
    <row r="1" spans="1:6" ht="43.2">
      <c r="A1" s="22" t="s">
        <v>218</v>
      </c>
      <c r="B1" s="23" t="s">
        <v>219</v>
      </c>
      <c r="C1" s="24" t="s">
        <v>220</v>
      </c>
      <c r="D1" s="24" t="s">
        <v>221</v>
      </c>
      <c r="E1" s="24" t="s">
        <v>222</v>
      </c>
      <c r="F1" s="24" t="s">
        <v>223</v>
      </c>
    </row>
    <row r="2" spans="1:6">
      <c r="A2" s="25" t="s">
        <v>232</v>
      </c>
      <c r="B2" s="26">
        <v>46265</v>
      </c>
      <c r="C2" s="27">
        <f>F2-SUM(E$2:E2)</f>
        <v>60</v>
      </c>
      <c r="D2" s="28">
        <f t="shared" ref="D2:D10" si="0">F2*(1-(A2-1)/8)</f>
        <v>60</v>
      </c>
      <c r="E2" s="29">
        <v>0</v>
      </c>
      <c r="F2" s="29">
        <v>60</v>
      </c>
    </row>
    <row r="3" spans="1:6">
      <c r="A3" s="25" t="s">
        <v>224</v>
      </c>
      <c r="B3" s="26">
        <v>46266</v>
      </c>
      <c r="C3" s="27">
        <f>F3-SUM(E$2:E3)</f>
        <v>60</v>
      </c>
      <c r="D3" s="28">
        <f t="shared" si="0"/>
        <v>52.5</v>
      </c>
      <c r="E3" s="29">
        <v>0</v>
      </c>
      <c r="F3" s="29">
        <v>60</v>
      </c>
    </row>
    <row r="4" spans="1:6">
      <c r="A4" s="25" t="s">
        <v>225</v>
      </c>
      <c r="B4" s="26">
        <v>46267</v>
      </c>
      <c r="C4" s="27">
        <f>F4-SUM(E$2:E4)</f>
        <v>60</v>
      </c>
      <c r="D4" s="28">
        <f t="shared" si="0"/>
        <v>45</v>
      </c>
      <c r="E4" s="29">
        <v>0</v>
      </c>
      <c r="F4" s="29">
        <v>60</v>
      </c>
    </row>
    <row r="5" spans="1:6">
      <c r="A5" s="25" t="s">
        <v>226</v>
      </c>
      <c r="B5" s="26">
        <v>46268</v>
      </c>
      <c r="C5" s="27">
        <f>F5-SUM(E$2:E5)</f>
        <v>60</v>
      </c>
      <c r="D5" s="28">
        <f t="shared" si="0"/>
        <v>37.5</v>
      </c>
      <c r="E5" s="29">
        <v>0</v>
      </c>
      <c r="F5" s="29">
        <v>60</v>
      </c>
    </row>
    <row r="6" spans="1:6">
      <c r="A6" s="25" t="s">
        <v>227</v>
      </c>
      <c r="B6" s="26">
        <v>46269</v>
      </c>
      <c r="C6" s="27">
        <f>F6-SUM(E$2:E6)</f>
        <v>60</v>
      </c>
      <c r="D6" s="28">
        <f t="shared" si="0"/>
        <v>30</v>
      </c>
      <c r="E6" s="29">
        <v>0</v>
      </c>
      <c r="F6" s="29">
        <v>60</v>
      </c>
    </row>
    <row r="7" spans="1:6">
      <c r="A7" s="25" t="s">
        <v>228</v>
      </c>
      <c r="B7" s="26">
        <v>46272</v>
      </c>
      <c r="C7" s="27">
        <f>F7-SUM(E$2:E7)</f>
        <v>60</v>
      </c>
      <c r="D7" s="28">
        <f t="shared" si="0"/>
        <v>22.5</v>
      </c>
      <c r="E7" s="29">
        <v>0</v>
      </c>
      <c r="F7" s="29">
        <v>60</v>
      </c>
    </row>
    <row r="8" spans="1:6">
      <c r="A8" s="25" t="s">
        <v>229</v>
      </c>
      <c r="B8" s="26">
        <v>46273</v>
      </c>
      <c r="C8" s="27">
        <f>F8-SUM(E$2:E8)</f>
        <v>60</v>
      </c>
      <c r="D8" s="28">
        <f t="shared" si="0"/>
        <v>15</v>
      </c>
      <c r="E8" s="29">
        <v>0</v>
      </c>
      <c r="F8" s="29">
        <v>60</v>
      </c>
    </row>
    <row r="9" spans="1:6">
      <c r="A9" s="25" t="s">
        <v>230</v>
      </c>
      <c r="B9" s="26">
        <v>46274</v>
      </c>
      <c r="C9" s="27">
        <f>F9-SUM(E$2:E9)</f>
        <v>60</v>
      </c>
      <c r="D9" s="28">
        <f t="shared" si="0"/>
        <v>7.5</v>
      </c>
      <c r="E9" s="29">
        <v>0</v>
      </c>
      <c r="F9" s="29">
        <v>60</v>
      </c>
    </row>
    <row r="10" spans="1:6">
      <c r="A10" s="25" t="s">
        <v>231</v>
      </c>
      <c r="B10" s="26">
        <v>46275</v>
      </c>
      <c r="C10" s="27">
        <f>F10-SUM(E$2:E10)</f>
        <v>60</v>
      </c>
      <c r="D10" s="28">
        <f t="shared" si="0"/>
        <v>0</v>
      </c>
      <c r="E10" s="29">
        <v>0</v>
      </c>
      <c r="F10" s="29">
        <v>60</v>
      </c>
    </row>
    <row r="11" spans="1:6">
      <c r="B11" s="5"/>
    </row>
  </sheetData>
  <phoneticPr fontId="10"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39" t="s">
        <v>24</v>
      </c>
      <c r="B1" s="39"/>
      <c r="C1" s="39"/>
      <c r="D1" s="39"/>
      <c r="E1" s="39"/>
      <c r="F1" s="39"/>
      <c r="G1" s="39"/>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2026-08-27T12:53:02Z</dcterms:modified>
</cp:coreProperties>
</file>