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filterPrivacy="1" defaultThemeVersion="124226"/>
  <xr:revisionPtr revIDLastSave="0" documentId="13_ncr:1_{4E048262-4033-466D-81BD-28D4485F8381}" xr6:coauthVersionLast="47" xr6:coauthVersionMax="47" xr10:uidLastSave="{00000000-0000-0000-0000-000000000000}"/>
  <bookViews>
    <workbookView xWindow="-108" yWindow="-108" windowWidth="23256" windowHeight="13176" activeTab="3" xr2:uid="{00000000-000D-0000-FFFF-FFFF00000000}"/>
  </bookViews>
  <sheets>
    <sheet name="Project Plan" sheetId="1" r:id="rId1"/>
    <sheet name="Sprint Plan" sheetId="2" r:id="rId2"/>
    <sheet name="Sprint Backlog" sheetId="3" r:id="rId3"/>
    <sheet name="Sheet2" sheetId="7" r:id="rId4"/>
    <sheet name="Product Backlog" sheetId="4" r:id="rId5"/>
    <sheet name="T Shirt sizing rules" sheetId="5"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s="1"/>
  <c r="C3" i="5"/>
  <c r="D3" i="5" s="1"/>
  <c r="F3" i="5" l="1"/>
  <c r="E3" i="5"/>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tc={7A857420-A344-4A5B-B5A5-8DCCE0278C3D}</author>
    <author>tc={62DF36E2-EA7C-49D8-8C48-B87BDEFAC85F}</author>
  </authors>
  <commentList>
    <comment ref="D55" authorId="0" shapeId="0" xr:uid="{7A857420-A344-4A5B-B5A5-8DCCE0278C3D}">
      <text>
        <t xml:space="preserve">[Threaded comment]
Your version of Excel allows you to read this threaded comment; however, any edits to it will get removed if the file is opened in a newer version of Excel. Learn more: https://go.microsoft.com/fwlink/?linkid=870924
Comment:
    Do we display all concerns or just top n 
</t>
      </text>
    </comment>
    <comment ref="D153" authorId="1" shapeId="0" xr:uid="{62DF36E2-EA7C-49D8-8C48-B87BDEFAC85F}">
      <text>
        <t xml:space="preserve">[Threaded comment]
Your version of Excel allows you to read this threaded comment; however, any edits to it will get removed if the file is opened in a newer version of Excel. Learn more: https://go.microsoft.com/fwlink/?linkid=870924
Comment:
    Do we need for MVP?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tc={233094A3-3D2A-436A-904F-A8273DA397F5}</author>
    <author>tc={08942A35-04A9-4798-9BE7-511ACD0FC8D0}</author>
  </authors>
  <commentList>
    <comment ref="E5" authorId="0" shapeId="0" xr:uid="{233094A3-3D2A-436A-904F-A8273DA397F5}">
      <text>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text>
    </comment>
    <comment ref="D7" authorId="1" shapeId="0" xr:uid="{08942A35-04A9-4798-9BE7-511ACD0FC8D0}">
      <text>
        <t xml:space="preserve">[Threaded comment]
Your version of Excel allows you to read this threaded comment; however, any edits to it will get removed if the file is opened in a newer version of Excel. Learn more: https://go.microsoft.com/fwlink/?linkid=870924
Comment:
    Upto what limit can a user repeat the process? </t>
      </text>
    </comment>
  </commentList>
</comments>
</file>

<file path=xl/sharedStrings.xml><?xml version="1.0" encoding="utf-8"?>
<sst xmlns="http://schemas.openxmlformats.org/spreadsheetml/2006/main" count="545" uniqueCount="425">
  <si>
    <t>Gain access to the Dev pannel of Shopify website for CelRevive from client.</t>
  </si>
  <si>
    <t>Sayan</t>
  </si>
  <si>
    <t>Start Date</t>
  </si>
  <si>
    <t>How to integrate a React widget component inside dev pannel of shopify websites. Specifically a survey and a camera widget. Do we need a separate widget for the recommendation page? Or a shopify page itself may work?</t>
  </si>
  <si>
    <t>BackEnd</t>
  </si>
  <si>
    <t>Work Item</t>
  </si>
  <si>
    <t>Responsible</t>
  </si>
  <si>
    <t>Comments/ Notes</t>
  </si>
  <si>
    <t>Section</t>
  </si>
  <si>
    <t>Front End</t>
  </si>
  <si>
    <t>Sl #</t>
  </si>
  <si>
    <t>Responsive React Widget for Questionnaire</t>
  </si>
  <si>
    <t>Shopify page to begin assessment</t>
  </si>
  <si>
    <t>Shopify page to show recommendation</t>
  </si>
  <si>
    <t>ETA</t>
  </si>
  <si>
    <t>Database vectorization - close review comments</t>
  </si>
  <si>
    <t>Review comments alread in Git</t>
  </si>
  <si>
    <t>Responsive React Widget for Camera + consent</t>
  </si>
  <si>
    <t>Image preprocessing &amp; quality validation</t>
  </si>
  <si>
    <t>Quality check of the image: if the image is of someone's skin or not, If the image is of skin but has deformities (e.g. not clear, low light etc.)</t>
  </si>
  <si>
    <t>Gemini concern classification</t>
  </si>
  <si>
    <t>From the RAG concerns table only</t>
  </si>
  <si>
    <t xml:space="preserve">Questionnaire processing </t>
  </si>
  <si>
    <t>From the concerns table only. The processing of the questionnaire responses may be deterministic. Vidit to create the core logic of Questionnaire processing and get it reviewed with Lindsey/ business.</t>
  </si>
  <si>
    <t>RAG-based base &amp; active retrieval</t>
  </si>
  <si>
    <t>Sayan, Soubhanik, Anirban's help</t>
  </si>
  <si>
    <t>Compatibility filtering</t>
  </si>
  <si>
    <t>Formulation ranking</t>
  </si>
  <si>
    <t>Gemini-generated formulation explanation</t>
  </si>
  <si>
    <t>JSON response to frontend</t>
  </si>
  <si>
    <t>Vidit, Rajanya</t>
  </si>
  <si>
    <t>Azad, Nathan</t>
  </si>
  <si>
    <t>Shopify "Check out" and "add to cart" functionalities from recommendation page.</t>
  </si>
  <si>
    <r>
      <t xml:space="preserve">Shopify website </t>
    </r>
    <r>
      <rPr>
        <b/>
        <sz val="11"/>
        <color theme="1"/>
        <rFont val="Calibri"/>
        <family val="2"/>
        <scheme val="minor"/>
      </rPr>
      <t>hands-on</t>
    </r>
    <r>
      <rPr>
        <sz val="11"/>
        <color theme="1"/>
        <rFont val="Calibri"/>
        <family val="2"/>
        <scheme val="minor"/>
      </rPr>
      <t xml:space="preserve"> research.</t>
    </r>
  </si>
  <si>
    <t xml:space="preserve">Add exclusion table </t>
  </si>
  <si>
    <t xml:space="preserve">Contains allergens and contraindictions which users answer in questionnaire </t>
  </si>
  <si>
    <t xml:space="preserve">Vision LLM concern extraction prompt &amp; json design </t>
  </si>
  <si>
    <t>SQL Candidate Shortlist Query</t>
  </si>
  <si>
    <t>Formulation LLM call prompt and json design</t>
  </si>
  <si>
    <t>Questionnaire concern extraction prompt &amp; json design</t>
  </si>
  <si>
    <t xml:space="preserve">Design json structure to send shortlist package and get active, base , dosage and explanation. </t>
  </si>
  <si>
    <t xml:space="preserve">Concern fusion </t>
  </si>
  <si>
    <t>1. Use exclusion table (item 9) to filter out allergens and contraindications
2.From the user's confirmed concerns, join concern_benefit with active_benefit_score and base_active_compatability, to give filtered, structured json packet</t>
  </si>
  <si>
    <t>Post Generation safety re-check</t>
  </si>
  <si>
    <t xml:space="preserve">Final check to see if returned formulation contains any exclusions or incompatabilities </t>
  </si>
  <si>
    <t xml:space="preserve">LLM interaction auditing </t>
  </si>
  <si>
    <r>
      <t xml:space="preserve">Write to existing </t>
    </r>
    <r>
      <rPr>
        <sz val="10"/>
        <color theme="1"/>
        <rFont val="Arial Unicode MS"/>
      </rPr>
      <t>audit_log</t>
    </r>
    <r>
      <rPr>
        <sz val="11"/>
        <color theme="1"/>
        <rFont val="Calibri"/>
        <family val="2"/>
        <scheme val="minor"/>
      </rPr>
      <t xml:space="preserve"> — no new table needed</t>
    </r>
  </si>
  <si>
    <t>Task</t>
  </si>
  <si>
    <t>Add exclusion table</t>
  </si>
  <si>
    <t>Design schema (allergen/exclusion master + active link table)</t>
  </si>
  <si>
    <t>Map questionnaire allergen field → exclusion table (structured, not free-text)</t>
  </si>
  <si>
    <t>Write DDL migration</t>
  </si>
  <si>
    <t>Seed exclusion data from workbook/domain input</t>
  </si>
  <si>
    <t>Write QA query to validate coverage (e.g. every active has been assessed against every known allergen category)</t>
  </si>
  <si>
    <t xml:space="preserve">Image Preprocessing &amp; Quality Validation </t>
  </si>
  <si>
    <t>Define acceptance thresholds (blur, lighting,resolution)</t>
  </si>
  <si>
    <t>Vision LLM Concern Extraction</t>
  </si>
  <si>
    <t>Define prompt structure</t>
  </si>
  <si>
    <t>Questionnaire Concern Extraction</t>
  </si>
  <si>
    <t xml:space="preserve">Concern Fusion </t>
  </si>
  <si>
    <t>Fuse questionnaire &amp; image skin detected skin concerns using OR  logic i.e
skin_concerns = questionnaire_concerns OR image_concerns</t>
  </si>
  <si>
    <r>
      <t xml:space="preserve">Update </t>
    </r>
    <r>
      <rPr>
        <b/>
        <sz val="11"/>
        <color theme="1"/>
        <rFont val="Calibri"/>
        <family val="2"/>
        <scheme val="minor"/>
      </rPr>
      <t>session_skin_concern_score</t>
    </r>
    <r>
      <rPr>
        <sz val="11"/>
        <color theme="1"/>
        <rFont val="Calibri"/>
        <family val="2"/>
        <scheme val="minor"/>
      </rPr>
      <t xml:space="preserve"> table</t>
    </r>
  </si>
  <si>
    <t>Apply exclusion filter</t>
  </si>
  <si>
    <r>
      <t xml:space="preserve">Define JSON package shape for LLM call - </t>
    </r>
    <r>
      <rPr>
        <b/>
        <sz val="11"/>
        <color theme="1"/>
        <rFont val="Calibri"/>
        <family val="2"/>
        <scheme val="minor"/>
      </rPr>
      <t>shortlist_json</t>
    </r>
  </si>
  <si>
    <t xml:space="preserve">Formulation LLM Call </t>
  </si>
  <si>
    <r>
      <t xml:space="preserve">Draft prompt template consuming </t>
    </r>
    <r>
      <rPr>
        <b/>
        <sz val="11"/>
        <color theme="1"/>
        <rFont val="Calibri"/>
        <family val="2"/>
        <scheme val="minor"/>
      </rPr>
      <t xml:space="preserve">shortlist_json </t>
    </r>
  </si>
  <si>
    <t>Define output Json Schema</t>
  </si>
  <si>
    <t>Work Serial</t>
  </si>
  <si>
    <t>Desginated Team</t>
  </si>
  <si>
    <t xml:space="preserve">Backend Sprint </t>
  </si>
  <si>
    <t>Status</t>
  </si>
  <si>
    <t>LLM Interaction auditing</t>
  </si>
  <si>
    <r>
      <t xml:space="preserve">Define </t>
    </r>
    <r>
      <rPr>
        <b/>
        <sz val="11"/>
        <color theme="1"/>
        <rFont val="Calibri"/>
        <family val="2"/>
        <scheme val="minor"/>
      </rPr>
      <t>audit_log</t>
    </r>
    <r>
      <rPr>
        <sz val="11"/>
        <color theme="1"/>
        <rFont val="Calibri"/>
        <family val="2"/>
        <scheme val="minor"/>
      </rPr>
      <t xml:space="preserve"> payload shape per event_type (image, questionnaire,formulation)</t>
    </r>
  </si>
  <si>
    <t>Implement logging calls at each LLM touchpoint</t>
  </si>
  <si>
    <t>Define final response schema (formulation,actives,bases,explanation, formulation_id,etc)</t>
  </si>
  <si>
    <t>Implement DB -&gt; Json serialization</t>
  </si>
  <si>
    <t xml:space="preserve">Define error/fallback response </t>
  </si>
  <si>
    <t>Shopify integration test</t>
  </si>
  <si>
    <t>Work Sub Serial</t>
  </si>
  <si>
    <t>Sprint Serial</t>
  </si>
  <si>
    <t>SQL Candidate Shortlist Query (Optional)</t>
  </si>
  <si>
    <t>Audit final candidate table</t>
  </si>
  <si>
    <t>Sprint Start</t>
  </si>
  <si>
    <t>Duration</t>
  </si>
  <si>
    <t xml:space="preserve">Define output JSON structure </t>
  </si>
  <si>
    <r>
      <t xml:space="preserve">Implement preprocessing pipeline </t>
    </r>
    <r>
      <rPr>
        <sz val="11"/>
        <color rgb="FFFF0000"/>
        <rFont val="Calibri"/>
        <family val="2"/>
        <scheme val="minor"/>
      </rPr>
      <t>(update in detail)</t>
    </r>
  </si>
  <si>
    <t>Scope</t>
  </si>
  <si>
    <r>
      <t xml:space="preserve">Quality gate + reject/retry module
</t>
    </r>
    <r>
      <rPr>
        <sz val="11"/>
        <color rgb="FFFF0000"/>
        <rFont val="Calibri"/>
        <family val="2"/>
        <scheme val="minor"/>
      </rPr>
      <t>(capture status code from backend and display in the frontend in a UX shell)</t>
    </r>
  </si>
  <si>
    <t>Rajanya , Azad</t>
  </si>
  <si>
    <t>Vidit</t>
  </si>
  <si>
    <t>6 days</t>
  </si>
  <si>
    <t>Soubhanik</t>
  </si>
  <si>
    <t>3 days</t>
  </si>
  <si>
    <t>End Date</t>
  </si>
  <si>
    <t>7 days</t>
  </si>
  <si>
    <t xml:space="preserve">Sprint Review </t>
  </si>
  <si>
    <t>TBD</t>
  </si>
  <si>
    <t>Blocker</t>
  </si>
  <si>
    <t>Client yet to mail back</t>
  </si>
  <si>
    <t>In Progress</t>
  </si>
  <si>
    <t>2 days</t>
  </si>
  <si>
    <t>Team</t>
  </si>
  <si>
    <t>Rajanya, Azad and Vidit</t>
  </si>
  <si>
    <r>
      <t xml:space="preserve">join </t>
    </r>
    <r>
      <rPr>
        <b/>
        <sz val="11"/>
        <color theme="1"/>
        <rFont val="Calibri"/>
        <family val="2"/>
        <scheme val="minor"/>
      </rPr>
      <t>concern_benefit</t>
    </r>
    <r>
      <rPr>
        <sz val="11"/>
        <color theme="1"/>
        <rFont val="Calibri"/>
        <family val="2"/>
        <scheme val="minor"/>
      </rPr>
      <t xml:space="preserve"> + </t>
    </r>
    <r>
      <rPr>
        <b/>
        <sz val="11"/>
        <color theme="1"/>
        <rFont val="Calibri"/>
        <family val="2"/>
        <scheme val="minor"/>
      </rPr>
      <t>active_benefit</t>
    </r>
    <r>
      <rPr>
        <sz val="11"/>
        <color theme="1"/>
        <rFont val="Calibri"/>
        <family val="2"/>
        <scheme val="minor"/>
      </rPr>
      <t xml:space="preserve"> _</t>
    </r>
    <r>
      <rPr>
        <b/>
        <sz val="11"/>
        <color theme="1"/>
        <rFont val="Calibri"/>
        <family val="2"/>
        <scheme val="minor"/>
      </rPr>
      <t xml:space="preserve">score+base_active_compatability
</t>
    </r>
    <r>
      <rPr>
        <sz val="11"/>
        <color theme="1"/>
        <rFont val="Calibri"/>
        <family val="2"/>
        <scheme val="minor"/>
      </rPr>
      <t xml:space="preserve">(climate, skin type {oily,semi-oily,dry,etc},acne suitable) -&gt; bases
</t>
    </r>
    <r>
      <rPr>
        <sz val="11"/>
        <color rgb="FFC00000"/>
        <rFont val="Calibri"/>
        <family val="2"/>
        <scheme val="minor"/>
      </rPr>
      <t>(vector db query ; no deterministic logic)</t>
    </r>
  </si>
  <si>
    <t>Sprint</t>
  </si>
  <si>
    <t>User Story</t>
  </si>
  <si>
    <t>Priority</t>
  </si>
  <si>
    <t>Story Points</t>
  </si>
  <si>
    <t>Designated Team</t>
  </si>
  <si>
    <t>Image Preprocessing &amp; Quality</t>
  </si>
  <si>
    <t>Questionnaire concern extraction</t>
  </si>
  <si>
    <t>Concern Fusion</t>
  </si>
  <si>
    <t>As a customer, I want the system to shortlist compatible actives and bases based on my combined image and questionnaire concerns, so that only relevant, safe candidates feed into my formulation.</t>
  </si>
  <si>
    <t>As a customer, I want to receive a formulation — recommended
 actives, bases, dosage and explanation — based on my shortlisted 
candidates, so that I get a personalised, safe product recommendation.</t>
  </si>
  <si>
    <t>Formulation LLM Call</t>
  </si>
  <si>
    <t>LLM interaction auditing</t>
  </si>
  <si>
    <t>Internal Review</t>
  </si>
  <si>
    <t>Client Review</t>
  </si>
  <si>
    <t>Shopify Integration Feasibility Test</t>
  </si>
  <si>
    <t>Test the feasibility of shopify api integration</t>
  </si>
  <si>
    <t>pending access to client shopify store</t>
  </si>
  <si>
    <t>Quality Testing</t>
  </si>
  <si>
    <t>Create a test dataset</t>
  </si>
  <si>
    <t>Validate System with test dataset</t>
  </si>
  <si>
    <r>
      <rPr>
        <b/>
        <sz val="11"/>
        <color theme="1"/>
        <rFont val="Calibri"/>
        <family val="2"/>
        <scheme val="minor"/>
      </rPr>
      <t>As a</t>
    </r>
    <r>
      <rPr>
        <sz val="11"/>
        <color theme="1"/>
        <rFont val="Calibri"/>
        <family val="2"/>
        <scheme val="minor"/>
      </rPr>
      <t xml:space="preserve"> customer, </t>
    </r>
    <r>
      <rPr>
        <b/>
        <sz val="11"/>
        <color theme="1"/>
        <rFont val="Calibri"/>
        <family val="2"/>
        <scheme val="minor"/>
      </rPr>
      <t>I want to</t>
    </r>
    <r>
      <rPr>
        <sz val="11"/>
        <color theme="1"/>
        <rFont val="Calibri"/>
        <family val="2"/>
        <scheme val="minor"/>
      </rPr>
      <t xml:space="preserve"> answer a questionnaire, and after processing, receive my detected skin concerns, allergies, contraindications and skin properties (?),</t>
    </r>
    <r>
      <rPr>
        <b/>
        <sz val="11"/>
        <color theme="1"/>
        <rFont val="Calibri"/>
        <family val="2"/>
        <scheme val="minor"/>
      </rPr>
      <t>so that</t>
    </r>
    <r>
      <rPr>
        <sz val="11"/>
        <color theme="1"/>
        <rFont val="Calibri"/>
        <family val="2"/>
        <scheme val="minor"/>
      </rPr>
      <t xml:space="preserve"> system understands my entire skin profile for formulation reccomendation ( bases)</t>
    </r>
  </si>
  <si>
    <t>Response to frontend</t>
  </si>
  <si>
    <t>Return json containing detected skin concerns, allergies , and other relevant properties , to the front end.</t>
  </si>
  <si>
    <t>Expected MVP showcase</t>
  </si>
  <si>
    <t>Expected Skin concern detection showcase</t>
  </si>
  <si>
    <t>Return Frontend Response</t>
  </si>
  <si>
    <t xml:space="preserve">return response </t>
  </si>
  <si>
    <t>I want to</t>
  </si>
  <si>
    <t>So that</t>
  </si>
  <si>
    <t>Logged in Customer</t>
  </si>
  <si>
    <t>I can view my reccomendation page with the following fields:
1. Hello "user_full_name"! 
2. Skin analysis results : Primary Concerns : only those detected through selfie
3. Reccomended for you : Active Ingredients: only those detected through selfie skin concerns.
4. Reccomended for you: Why this formula: explained by LLM for selected actives detected through selfie skin concerns</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</si>
  <si>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</si>
  <si>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</si>
  <si>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</si>
  <si>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r>
      <t xml:space="preserve">upload an acceptable quality picture of my skin 
and press on </t>
    </r>
    <r>
      <rPr>
        <b/>
        <sz val="11"/>
        <color theme="1"/>
        <rFont val="Calibri"/>
        <family val="2"/>
        <scheme val="minor"/>
      </rPr>
      <t>submit</t>
    </r>
    <r>
      <rPr>
        <sz val="11"/>
        <color theme="1"/>
        <rFont val="Calibri"/>
        <family val="2"/>
        <scheme val="minor"/>
      </rPr>
      <t xml:space="preserve"> button</t>
    </r>
  </si>
  <si>
    <t>Identify User ID &amp; Session ID</t>
  </si>
  <si>
    <t>Product Backlog</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</si>
  <si>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</si>
  <si>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</si>
  <si>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</si>
  <si>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1. Blurry image should be rejected.
2. A low lighting image should be rejected.
3. A low resolution image should be rejected
4. A combination of any/all of the above three should be rejected
4. A proper image should not be rejected</t>
  </si>
  <si>
    <t>I can view my reccomendation page with the following fields:
1. Hello "user_full_name"! 
2. Skin analysis results : Primary Concerns : only those detected through selfie.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</si>
  <si>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</si>
  <si>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</si>
  <si>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</si>
  <si>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</si>
  <si>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</si>
  <si>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</si>
  <si>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</si>
  <si>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</si>
  <si>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</si>
  <si>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todo/wip/done - states</t>
  </si>
  <si>
    <t xml:space="preserve">As a </t>
  </si>
  <si>
    <t>Difficulty</t>
  </si>
  <si>
    <t>Scale : 1-5</t>
  </si>
  <si>
    <t>Final Weightage</t>
  </si>
  <si>
    <t>Ease</t>
  </si>
  <si>
    <t>I can add the reccomended formulation to my shopping cart .</t>
  </si>
  <si>
    <r>
      <t xml:space="preserve">1. Detected skin concerns should be from the series:
SC0001 - SC0019 &amp; SC1001 - SC1009
2. If no skin concern is detected (perfectly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3. If the image contains one or multiple particular skin concerns then, all of those should be shown in the Skin analysis results: Primary Concerns.
4. No other skin concerns should be shown in the Skin analysis results: Primary Concerns other than the ones really existing in the images.</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</si>
  <si>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8. Skin analysis result:Skin Type, Sensitive Level, Allergens: must exactly match the answers provided by the user via the questionnaire.
9. The reccomended formula must not contain any harmful or unsuitable ingredients as per the answers provided by the user via the questionnaire.
10. The actives and base comprising the reccomended formulation must be compatible with each other, and relevant to the user's skin concerns.
11. The cost of actives and base comprising the reccomended formulation must be calculated with their accurate cost/g.
</t>
    </r>
  </si>
  <si>
    <r>
      <t xml:space="preserve">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Allergens: detected through questionnaire answers.
5. Skin analysis results: Sensitivity Level: detected through questionnaire input
6. Reccomended for you: Base :
selected through questionnaire answers.
7. Reccomended for you : Active Ingredients: those detected through selfie and questionnaire skin concerns.
8. Reccomended for you: Why this formula: explained by LLM for selected actives detected through selfie and questionnaire skin concerns
9.Reccomended for you: Cost: Total cost of the reccomended formulation. </t>
    </r>
    <r>
      <rPr>
        <sz val="11"/>
        <color rgb="FFC00000"/>
        <rFont val="Calibri"/>
        <family val="2"/>
        <scheme val="minor"/>
      </rPr>
      <t>[add in wireframes]</t>
    </r>
  </si>
  <si>
    <t xml:space="preserve">I can repeat my AI skin analysis. </t>
  </si>
  <si>
    <r>
      <t xml:space="preserve">1.Upon </t>
    </r>
    <r>
      <rPr>
        <b/>
        <sz val="11"/>
        <color theme="1"/>
        <rFont val="Calibri"/>
        <family val="2"/>
        <scheme val="minor"/>
      </rPr>
      <t xml:space="preserve">add to cart </t>
    </r>
    <r>
      <rPr>
        <sz val="11"/>
        <color theme="1"/>
        <rFont val="Calibri"/>
        <family val="2"/>
        <scheme val="minor"/>
      </rPr>
      <t>button being clicked, the reccomended formulation along with cost , should be saved for the user and added to their shopping cart, allowing them to buy later at their convenience. 
2. The saved formulation in [1] must exactly match the reccomended formulation.</t>
    </r>
  </si>
  <si>
    <r>
      <t xml:space="preserve">press the 
</t>
    </r>
    <r>
      <rPr>
        <b/>
        <sz val="11"/>
        <color rgb="FFC00000"/>
        <rFont val="Calibri"/>
        <family val="2"/>
        <scheme val="minor"/>
      </rPr>
      <t xml:space="preserve">[repeat reccomendation process] 
</t>
    </r>
    <r>
      <rPr>
        <sz val="11"/>
        <color rgb="FFC00000"/>
        <rFont val="Calibri"/>
        <family val="2"/>
        <scheme val="minor"/>
      </rPr>
      <t xml:space="preserve">button
</t>
    </r>
  </si>
  <si>
    <t>Story Point</t>
  </si>
  <si>
    <t>User Story Id</t>
  </si>
  <si>
    <t xml:space="preserve">User Story Id </t>
  </si>
  <si>
    <t>User Story ID</t>
  </si>
  <si>
    <t>Story points</t>
  </si>
  <si>
    <t xml:space="preserve">Status </t>
  </si>
  <si>
    <t xml:space="preserve">Receive image from frontend </t>
  </si>
  <si>
    <t>Epic</t>
  </si>
  <si>
    <t>Validate Image filetype</t>
  </si>
  <si>
    <t>Validate image can be decoded/read</t>
  </si>
  <si>
    <t>Validate image resolution</t>
  </si>
  <si>
    <t>Calculate Image sharpness score</t>
  </si>
  <si>
    <t>Define blur rejection threshold</t>
  </si>
  <si>
    <t>Calculate image brightness/lighting score</t>
  </si>
  <si>
    <t>Define low light rejection threshold</t>
  </si>
  <si>
    <t>Define minimum resolution threshold</t>
  </si>
  <si>
    <t>Combine image quality checks into a single validation test</t>
  </si>
  <si>
    <t>Implement blurry image rejection</t>
  </si>
  <si>
    <t>Implement low light rejection</t>
  </si>
  <si>
    <t>Implement low resolution rejection</t>
  </si>
  <si>
    <t>Implement combined-quality rejection</t>
  </si>
  <si>
    <t xml:space="preserve">Implement valid-image acceptance </t>
  </si>
  <si>
    <t>Define image validation response schema</t>
  </si>
  <si>
    <t xml:space="preserve">Return validation response to frontend </t>
  </si>
  <si>
    <t>Map invalid image-response to frontend error message</t>
  </si>
  <si>
    <t>Redirect user to selfie capture page after rejection</t>
  </si>
  <si>
    <t>Display "Your image is not valid. Take another image with better quality"</t>
  </si>
  <si>
    <t>Normalize accepted image</t>
  </si>
  <si>
    <t>Resize Image for Vission LLM input</t>
  </si>
  <si>
    <t>Apply required image format conversion</t>
  </si>
  <si>
    <t>Validate preprocessing output</t>
  </si>
  <si>
    <t>Store/forward processed image to vision LLM</t>
  </si>
  <si>
    <t>Define Vision LLM Output JSON</t>
  </si>
  <si>
    <t>Define image analysis instructions</t>
  </si>
  <si>
    <t>Define Vision LLM System Prompt</t>
  </si>
  <si>
    <t>Define skin concern detection rules</t>
  </si>
  <si>
    <t>Restrict model output to supported skin concern IDS</t>
  </si>
  <si>
    <t>Define "no concern" behaviors</t>
  </si>
  <si>
    <t>Add hallucination prevention instructions</t>
  </si>
  <si>
    <t>Add JSON only response instruction</t>
  </si>
  <si>
    <t>Implement Vision LLM API Call</t>
  </si>
  <si>
    <t>Pass preprocessed image to Vision LLM</t>
  </si>
  <si>
    <t xml:space="preserve">Validate Vision LLM response against JSON Schema </t>
  </si>
  <si>
    <t>Handle malformed LLM response</t>
  </si>
  <si>
    <t>Handle LLM timeout/API failure</t>
  </si>
  <si>
    <t>Store/audit Vision LLM request and response</t>
  </si>
  <si>
    <t>Validate returned concern IDs against SC0001-SC0019</t>
  </si>
  <si>
    <t>Validate returned concern IDs against SC1001-SC1009</t>
  </si>
  <si>
    <t>Remove unsupported concern IDs</t>
  </si>
  <si>
    <t>Handle duplicate concern IDs</t>
  </si>
  <si>
    <t>Handle empty concern list</t>
  </si>
  <si>
    <t>Define Skin analysis response schema</t>
  </si>
  <si>
    <t>Serialize detected concerns to JSON</t>
  </si>
  <si>
    <t>Return detected concerns to frontend</t>
  </si>
  <si>
    <t>Return user full name</t>
  </si>
  <si>
    <t>Return "Your skin looks perfect!" when no concerns exist</t>
  </si>
  <si>
    <t>Return detected concerns under Primary Concerns</t>
  </si>
  <si>
    <t>Map concern IDs to display names</t>
  </si>
  <si>
    <t>Display primary concerns on reccomendation page</t>
  </si>
  <si>
    <t>Display perfect skin message when concern list is empty</t>
  </si>
  <si>
    <t>Verify only model-detected concerns are displayed</t>
  </si>
  <si>
    <t>Define Questionnaire concern extraction JSON schema</t>
  </si>
  <si>
    <t>Define skin concern field</t>
  </si>
  <si>
    <t>Define skin type field</t>
  </si>
  <si>
    <t>Define sensitivity field</t>
  </si>
  <si>
    <t>Define Allergen field</t>
  </si>
  <si>
    <t>Define base preference field</t>
  </si>
  <si>
    <t>Define allowed values for each field</t>
  </si>
  <si>
    <t>Define Questionnaire concern extraction prompt</t>
  </si>
  <si>
    <t>Map questionnaire answers into prompt variables</t>
  </si>
  <si>
    <t>Define concern extraction rules</t>
  </si>
  <si>
    <t>Define allergen extraction rules</t>
  </si>
  <si>
    <t>Define skin type extraction rules</t>
  </si>
  <si>
    <t>Define sensitivity extraction rules</t>
  </si>
  <si>
    <t>Add JSON only output instruction</t>
  </si>
  <si>
    <t>Implement Questionnaire LLM call</t>
  </si>
  <si>
    <t>Validate questionnaire response schema</t>
  </si>
  <si>
    <t>Handle LLM failure</t>
  </si>
  <si>
    <t>Store/audit questionnaire extraction event</t>
  </si>
  <si>
    <t>Define active-to-exclusion relationsip table</t>
  </si>
  <si>
    <t>Write database migration</t>
  </si>
  <si>
    <t>Seed allergen/exclusion master data</t>
  </si>
  <si>
    <t>Validate seed data</t>
  </si>
  <si>
    <t>Map questionnaire allergen values to master allergen IDs</t>
  </si>
  <si>
    <t>Define concern-fusion input schema</t>
  </si>
  <si>
    <t>Normalize concern IDs</t>
  </si>
  <si>
    <t>Merge questionnaire and image concern lists</t>
  </si>
  <si>
    <t>Remove duplicate concerns</t>
  </si>
  <si>
    <t>Validate merged concerns</t>
  </si>
  <si>
    <t>Store final fused concern list</t>
  </si>
  <si>
    <t>Define empty-concern behaviour</t>
  </si>
  <si>
    <t>Define vector-search input</t>
  </si>
  <si>
    <t>Implement vector DB candidate retrieval</t>
  </si>
  <si>
    <t>Define candidate top-K</t>
  </si>
  <si>
    <t>Validate retrieved candidates</t>
  </si>
  <si>
    <t>Filter candidates by skin type</t>
  </si>
  <si>
    <t>Filter candidates by climate</t>
  </si>
  <si>
    <t>Filter candidates by acne suitability</t>
  </si>
  <si>
    <t>Filter incompatible active/base combinations</t>
  </si>
  <si>
    <t>Load user's normalized exclusions</t>
  </si>
  <si>
    <t>Match exclusions against candidate ingredients</t>
  </si>
  <si>
    <t>Remove excluded actives</t>
  </si>
  <si>
    <t>Remove excluded bases</t>
  </si>
  <si>
    <t>Record exclusion reason</t>
  </si>
  <si>
    <t>Verify no excluded ingredient remains</t>
  </si>
  <si>
    <t>Create candidate audit structure</t>
  </si>
  <si>
    <t>Store retrieved candidates</t>
  </si>
  <si>
    <t>Store removed candidates</t>
  </si>
  <si>
    <t>Store exclusion reasons</t>
  </si>
  <si>
    <t>Store final candidate set</t>
  </si>
  <si>
    <t>Validate final candidate set</t>
  </si>
  <si>
    <t>Define active ingredient representation</t>
  </si>
  <si>
    <t>Define base representation</t>
  </si>
  <si>
    <t>Define concern representation</t>
  </si>
  <si>
    <t>Define compatibility information</t>
  </si>
  <si>
    <t>Define exclusion information</t>
  </si>
  <si>
    <t>Define cost information</t>
  </si>
  <si>
    <t>Serialize candidate shortlist to JSON</t>
  </si>
  <si>
    <t>Draft formulation prompt template</t>
  </si>
  <si>
    <t>Define formulation constraints</t>
  </si>
  <si>
    <t>Define 100g formulation requirement</t>
  </si>
  <si>
    <t>Define active percentage requirements</t>
  </si>
  <si>
    <t>Define compatibility requirements</t>
  </si>
  <si>
    <t>Define exclusion requirements</t>
  </si>
  <si>
    <t>Define concern-to-active reasoning requirements</t>
  </si>
  <si>
    <t>Define cost calculation requirements</t>
  </si>
  <si>
    <t>Add JSON-only output instruction</t>
  </si>
  <si>
    <t>Define formulation output JSON schema</t>
  </si>
  <si>
    <t>Define formulation ID</t>
  </si>
  <si>
    <t>Define selected actives</t>
  </si>
  <si>
    <t>Define active percentages</t>
  </si>
  <si>
    <t>Define selected base</t>
  </si>
  <si>
    <t>Define quantities</t>
  </si>
  <si>
    <t>Define formulation weight</t>
  </si>
  <si>
    <t>Define formulation cost</t>
  </si>
  <si>
    <t>Define explanation</t>
  </si>
  <si>
    <t>Define validation/error fields</t>
  </si>
  <si>
    <t>Validate output against schema</t>
  </si>
  <si>
    <t>Handle malformed response</t>
  </si>
  <si>
    <t>Implement formulation LLM call</t>
  </si>
  <si>
    <r>
      <t xml:space="preserve">Define </t>
    </r>
    <r>
      <rPr>
        <b/>
        <sz val="11"/>
        <color theme="1"/>
        <rFont val="Calibri"/>
        <family val="2"/>
        <scheme val="minor"/>
      </rPr>
      <t>shortlist_json</t>
    </r>
    <r>
      <rPr>
        <sz val="11"/>
        <color theme="1"/>
        <rFont val="Calibri"/>
        <family val="2"/>
        <scheme val="minor"/>
      </rPr>
      <t xml:space="preserve"> schema</t>
    </r>
  </si>
  <si>
    <r>
      <t xml:space="preserve">Validate </t>
    </r>
    <r>
      <rPr>
        <b/>
        <sz val="11"/>
        <color theme="1"/>
        <rFont val="Calibri"/>
        <family val="2"/>
        <scheme val="minor"/>
      </rPr>
      <t>shortlist_json</t>
    </r>
  </si>
  <si>
    <r>
      <t xml:space="preserve">Pass </t>
    </r>
    <r>
      <rPr>
        <b/>
        <sz val="11"/>
        <color theme="1"/>
        <rFont val="Calibri"/>
        <family val="2"/>
        <scheme val="minor"/>
      </rPr>
      <t>shortlist_json</t>
    </r>
  </si>
  <si>
    <t>Validate formulation total weight = 100g</t>
  </si>
  <si>
    <t>Validate active percentages</t>
  </si>
  <si>
    <t>Validate active quantities</t>
  </si>
  <si>
    <t>Validate base quantity</t>
  </si>
  <si>
    <t>Validate active/base compatibility</t>
  </si>
  <si>
    <t>Validate skin-concern relevance</t>
  </si>
  <si>
    <t>Validate allergen exclusions</t>
  </si>
  <si>
    <t>Validate ingredient suitability</t>
  </si>
  <si>
    <t>Calculate total formulation cost</t>
  </si>
  <si>
    <t>Validate LLM-calculated cost against DB cost</t>
  </si>
  <si>
    <t>Reject invalid formulation</t>
  </si>
  <si>
    <t>Trigger formulation regeneration/fallback for invalid formulation</t>
  </si>
  <si>
    <t>Define audit event types</t>
  </si>
  <si>
    <t>Define image-analysis audit payload</t>
  </si>
  <si>
    <t>Define questionnaire-analysis audit payload</t>
  </si>
  <si>
    <t>Define formulation audit payload</t>
  </si>
  <si>
    <t>Define request metadata</t>
  </si>
  <si>
    <t>Define response metadata</t>
  </si>
  <si>
    <t>Define model/version metadata</t>
  </si>
  <si>
    <t>Define timestamp/session identifiers</t>
  </si>
  <si>
    <t>Implement image LLM logging</t>
  </si>
  <si>
    <t>Implement questionnaire LLM logging</t>
  </si>
  <si>
    <t>Implement formulation LLM logging</t>
  </si>
  <si>
    <t>Implement LLM error logging</t>
  </si>
  <si>
    <t>Define final recommendation response schema</t>
  </si>
  <si>
    <t>Add user full name</t>
  </si>
  <si>
    <t>Add primary skin concerns</t>
  </si>
  <si>
    <t>Add skin type</t>
  </si>
  <si>
    <t>Add sensitivity level</t>
  </si>
  <si>
    <t>Add allergens</t>
  </si>
  <si>
    <t>Add recommended base</t>
  </si>
  <si>
    <t>Add active ingredients</t>
  </si>
  <si>
    <t>Add active percentages</t>
  </si>
  <si>
    <t>Add ingredient quantities</t>
  </si>
  <si>
    <t>Add formulation weight</t>
  </si>
  <si>
    <t>Add formulation cost</t>
  </si>
  <si>
    <t>Add formulation explanation</t>
  </si>
  <si>
    <t>Add formulation ID</t>
  </si>
  <si>
    <t>Implement DB → response serialization</t>
  </si>
  <si>
    <t>Serialize formulation data</t>
  </si>
  <si>
    <t>Serialize concern data</t>
  </si>
  <si>
    <t>Serialize questionnaire data</t>
  </si>
  <si>
    <t>Serialize cost data</t>
  </si>
  <si>
    <t>Validate final response schema</t>
  </si>
  <si>
    <t>Define recommendation error schema</t>
  </si>
  <si>
    <t>Define no-compatible-formulation response</t>
  </si>
  <si>
    <t>Define LLM failure response</t>
  </si>
  <si>
    <t>Define database failure response</t>
  </si>
  <si>
    <t>Define invalid-formulation response</t>
  </si>
  <si>
    <t>Implement fallback response</t>
  </si>
  <si>
    <t>Display user name</t>
  </si>
  <si>
    <t>Display primary skin concerns</t>
  </si>
  <si>
    <t>Display perfect-skin message when applicable</t>
  </si>
  <si>
    <t>Display skin type</t>
  </si>
  <si>
    <t>Display allergens</t>
  </si>
  <si>
    <t>Display sensitivity level</t>
  </si>
  <si>
    <t>Display recommended base</t>
  </si>
  <si>
    <t>Display active ingredients</t>
  </si>
  <si>
    <t>Display active percentages</t>
  </si>
  <si>
    <t>Display formulation explanation</t>
  </si>
  <si>
    <t>Display total cost</t>
  </si>
  <si>
    <t>Display formulation ID/status if required</t>
  </si>
  <si>
    <t xml:space="preserve">1.2
</t>
  </si>
  <si>
    <t>Identify required Shopify API capabilities</t>
  </si>
  <si>
    <t>Identify Shopify product/cart model</t>
  </si>
  <si>
    <t>Determine how formulation metadata can be stored</t>
  </si>
  <si>
    <t>Determine authentication requirements</t>
  </si>
  <si>
    <t>Create Shopify API proof of concept</t>
  </si>
  <si>
    <t>Create test product/variant</t>
  </si>
  <si>
    <t>Add test item to cart</t>
  </si>
  <si>
    <t>Retrieve cart</t>
  </si>
  <si>
    <t>Confirm custom formulation data can be persisted</t>
  </si>
  <si>
    <t>Define saved formulation schema</t>
  </si>
  <si>
    <t>Define formulation-to-user relationship</t>
  </si>
  <si>
    <t>Define formulation-to-cart relationship</t>
  </si>
  <si>
    <t>Store formulation ID</t>
  </si>
  <si>
    <t>Store formulation ingredients</t>
  </si>
  <si>
    <t>Store ingredient quantities</t>
  </si>
  <si>
    <t>Store base</t>
  </si>
  <si>
    <t>Store formulation cost</t>
  </si>
  <si>
    <t>Store formulation snapshot/version</t>
  </si>
  <si>
    <t>Implement formulation persistence</t>
  </si>
  <si>
    <t>Define add-to-cart request schema</t>
  </si>
  <si>
    <t>Validate formulation ID</t>
  </si>
  <si>
    <t>Retrieve formulation</t>
  </si>
  <si>
    <t>Verify formulation belongs to logged-in user</t>
  </si>
  <si>
    <t>Verify formulation is valid</t>
  </si>
  <si>
    <t>Create Shopify cart item</t>
  </si>
  <si>
    <t>Attach formulation metadata</t>
  </si>
  <si>
    <t>Save cart/formulation relationship</t>
  </si>
  <si>
    <t>Return cart response</t>
  </si>
  <si>
    <t>Implement Add to Cart button</t>
  </si>
  <si>
    <t>Disable button while request is processing</t>
  </si>
  <si>
    <t>Call add-to-cart API</t>
  </si>
  <si>
    <t>Handle successful response</t>
  </si>
  <si>
    <t>Display success state</t>
  </si>
  <si>
    <t>Handle add-to-cart failure</t>
  </si>
  <si>
    <t>Prevent duplicate submissions</t>
  </si>
  <si>
    <t>Define allergen/exclusion master table</t>
  </si>
  <si>
    <t>Define base-to-exclusion relationship table</t>
  </si>
  <si>
    <t>Seed active ingredient -&gt; exclusion mapping</t>
  </si>
  <si>
    <t>Seed base -&gt; exclusion mappings</t>
  </si>
  <si>
    <t>Store image analysis result against current session</t>
  </si>
  <si>
    <t>Store questionnaire extraction result against current session</t>
  </si>
  <si>
    <t>Store questionnaire-derived exclusions for the current session</t>
  </si>
  <si>
    <t>Define candidate retrieval query</t>
  </si>
  <si>
    <t>Retrieve candidate actives</t>
  </si>
  <si>
    <t>Retrieve candidate bases</t>
  </si>
  <si>
    <t>Verify formulation references only ingredients present in shortlist</t>
  </si>
  <si>
    <t>Store formulation explanation</t>
  </si>
  <si>
    <t>Validate selected base exists in shortlist</t>
  </si>
  <si>
    <t>Store active ingredient percentages</t>
  </si>
  <si>
    <t>Retrieve and validate ingredient cost/g from db</t>
  </si>
  <si>
    <t>SPRINT BACKLOG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</si>
</sst>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10">
    <font>
      <sz val="11"/>
      <color theme="1"/>
      <name val="Calibri"/>
      <family val="2"/>
      <scheme val="minor"/>
    </font>
    <font>
      <b/>
      <sz val="11"/>
      <color theme="1"/>
      <name val="Calibri"/>
      <family val="2"/>
      <scheme val="minor"/>
    </font>
    <font>
      <sz val="11"/>
      <color rgb="FFFF0000"/>
      <name val="Calibri"/>
      <family val="2"/>
      <scheme val="minor"/>
    </font>
    <font>
      <sz val="11"/>
      <name val="Calibri"/>
      <family val="2"/>
      <scheme val="minor"/>
    </font>
    <font>
      <sz val="10"/>
      <color theme="1"/>
      <name val="Arial Unicode MS"/>
    </font>
    <font>
      <sz val="11"/>
      <color rgb="FFC00000"/>
      <name val="Calibri"/>
      <family val="2"/>
      <scheme val="minor"/>
    </font>
    <font>
      <b/>
      <sz val="11"/>
      <color rgb="FFC00000"/>
      <name val="Calibri"/>
      <family val="2"/>
      <scheme val="minor"/>
    </font>
    <font>
      <sz val="11"/>
      <color theme="5"/>
      <name val="Calibri"/>
      <family val="2"/>
      <scheme val="minor"/>
    </font>
    <font>
      <sz val="9"/>
      <color indexed="81"/>
      <name val="Tahoma"/>
      <family val="2"/>
    </font>
    <font>
      <sz val="11"/>
      <color rgb="FF00B0F0"/>
      <name val="Calibri"/>
      <family val="2"/>
      <scheme val="minor"/>
    </font>
  </fonts>
  <fills count="1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diagonal/>
    </border>
  </borders>
  <cellStyleXfs count="1">
    <xf numFmtId="0" fontId="0" fillId="0" borderId="0"/>
  </cellStyleXfs>
  <cellXfs count="95">
    <xf numFmtId="0" fontId="0" fillId="0" borderId="0" xfId="0"/>
    <xf numFmtId="0" fontId="0" fillId="0" borderId="0" xfId="0" applyAlignment="1">
      <alignment vertical="top" wrapText="1"/>
    </xf>
    <xf numFmtId="0" fontId="1" fillId="2" borderId="0" xfId="0" applyFont="1" applyFill="1" applyAlignment="1">
      <alignment vertical="top" wrapText="1"/>
    </xf>
    <xf numFmtId="16" fontId="0" fillId="0" borderId="0" xfId="0" applyNumberFormat="1" applyAlignment="1">
      <alignment vertical="top" wrapText="1"/>
    </xf>
    <xf numFmtId="0" fontId="2" fillId="0" borderId="0" xfId="0" applyFont="1" applyAlignment="1">
      <alignment vertical="top" wrapText="1"/>
    </xf>
    <xf numFmtId="16" fontId="2" fillId="0" borderId="0" xfId="0" applyNumberFormat="1" applyFont="1" applyAlignment="1">
      <alignment vertical="top" wrapText="1"/>
    </xf>
    <xf numFmtId="0" fontId="0" fillId="3" borderId="1" xfId="0" applyFill="1" applyBorder="1" applyAlignment="1">
      <alignment vertical="top" wrapText="1"/>
    </xf>
    <xf numFmtId="16" fontId="0" fillId="3" borderId="1" xfId="0" applyNumberFormat="1" applyFill="1" applyBorder="1" applyAlignment="1">
      <alignment vertical="top" wrapText="1"/>
    </xf>
    <xf numFmtId="0" fontId="3" fillId="3" borderId="1" xfId="0" applyFont="1" applyFill="1" applyBorder="1" applyAlignment="1">
      <alignment vertical="top" wrapText="1"/>
    </xf>
    <xf numFmtId="16" fontId="3" fillId="3" borderId="1" xfId="0" applyNumberFormat="1" applyFont="1" applyFill="1" applyBorder="1" applyAlignment="1">
      <alignment vertical="top" wrapText="1"/>
    </xf>
    <xf numFmtId="0" fontId="0" fillId="4" borderId="0" xfId="0" applyFill="1" applyAlignment="1">
      <alignment vertical="top" wrapText="1"/>
    </xf>
    <xf numFmtId="0" fontId="3" fillId="4" borderId="0" xfId="0" applyFont="1" applyFill="1" applyAlignment="1">
      <alignment vertical="top" wrapText="1"/>
    </xf>
    <xf numFmtId="0" fontId="0" fillId="3" borderId="1" xfId="0" applyFill="1" applyBorder="1"/>
    <xf numFmtId="0" fontId="0" fillId="0" borderId="0" xfId="0" applyAlignment="1">
      <alignment wrapText="1"/>
    </xf>
    <xf numFmtId="0" fontId="0" fillId="0" borderId="0" xfId="0" applyAlignment="1">
      <alignment horizontal="center" vertical="center"/>
    </xf>
    <xf numFmtId="0" fontId="1" fillId="0" borderId="0" xfId="0" applyFont="1"/>
    <xf numFmtId="0" fontId="1" fillId="0" borderId="0" xfId="0" applyFont="1" applyAlignment="1">
      <alignment horizontal="center" vertical="center"/>
    </xf>
    <xf numFmtId="0" fontId="1" fillId="0" borderId="0" xfId="0" applyFont="1" applyAlignment="1">
      <alignment horizontal="center" vertical="center" wrapText="1"/>
    </xf>
    <xf numFmtId="0" fontId="0" fillId="6" borderId="0" xfId="0" applyFill="1"/>
    <xf numFmtId="0" fontId="0" fillId="6" borderId="0" xfId="0" applyFill="1" applyAlignment="1">
      <alignment wrapText="1"/>
    </xf>
    <xf numFmtId="0" fontId="2" fillId="6" borderId="0" xfId="0" applyFont="1" applyFill="1" applyAlignment="1">
      <alignment wrapText="1"/>
    </xf>
    <xf numFmtId="14" fontId="0" fillId="0" borderId="0" xfId="0" applyNumberFormat="1"/>
    <xf numFmtId="14" fontId="0" fillId="0" borderId="0" xfId="0" applyNumberFormat="1" applyAlignment="1">
      <alignment horizontal="center" vertical="center"/>
    </xf>
    <xf numFmtId="0" fontId="0" fillId="3" borderId="0" xfId="0" applyFill="1" applyAlignment="1">
      <alignment horizontal="center"/>
    </xf>
    <xf numFmtId="0" fontId="0" fillId="3" borderId="0" xfId="0" applyFill="1" applyAlignment="1">
      <alignment horizontal="center" vertical="center"/>
    </xf>
    <xf numFmtId="0" fontId="0" fillId="3" borderId="0" xfId="0" applyFill="1"/>
    <xf numFmtId="14" fontId="0" fillId="3" borderId="0" xfId="0" applyNumberFormat="1" applyFill="1" applyAlignment="1">
      <alignment horizontal="center" vertical="center"/>
    </xf>
    <xf numFmtId="18" fontId="0" fillId="3" borderId="0" xfId="0" applyNumberFormat="1" applyFill="1" applyAlignment="1">
      <alignment horizontal="center" vertical="center"/>
    </xf>
    <xf numFmtId="0" fontId="0" fillId="3" borderId="0" xfId="0" applyFill="1" applyAlignment="1">
      <alignment wrapText="1"/>
    </xf>
    <xf numFmtId="16" fontId="0" fillId="3" borderId="0" xfId="0" applyNumberFormat="1" applyFill="1" applyAlignment="1">
      <alignment horizontal="center"/>
    </xf>
    <xf numFmtId="18" fontId="0" fillId="3" borderId="0" xfId="0" applyNumberFormat="1" applyFill="1" applyAlignment="1">
      <alignment horizontal="center"/>
    </xf>
    <xf numFmtId="0" fontId="0" fillId="0" borderId="0" xfId="0" applyAlignment="1">
      <alignment horizontal="center" vertical="center" wrapText="1"/>
    </xf>
    <xf numFmtId="0" fontId="0" fillId="0" borderId="0" xfId="0" applyAlignment="1">
      <alignment horizontal="left" wrapText="1"/>
    </xf>
    <xf numFmtId="0" fontId="0" fillId="0" borderId="0" xfId="0" applyAlignment="1">
      <alignment vertical="center"/>
    </xf>
    <xf numFmtId="0" fontId="0" fillId="7" borderId="0" xfId="0" applyFill="1" applyAlignment="1">
      <alignment horizontal="center"/>
    </xf>
    <xf numFmtId="0" fontId="0" fillId="7" borderId="0" xfId="0" applyFill="1" applyAlignment="1">
      <alignment horizontal="center" vertical="center" wrapText="1"/>
    </xf>
    <xf numFmtId="0" fontId="0" fillId="7" borderId="0" xfId="0" applyFill="1" applyAlignment="1">
      <alignment horizontal="center" vertical="center"/>
    </xf>
    <xf numFmtId="0" fontId="0" fillId="7" borderId="0" xfId="0" applyFill="1"/>
    <xf numFmtId="14" fontId="0" fillId="7" borderId="0" xfId="0" applyNumberFormat="1" applyFill="1" applyAlignment="1">
      <alignment horizontal="center" vertical="center"/>
    </xf>
    <xf numFmtId="0" fontId="0" fillId="0" borderId="1" xfId="0" applyBorder="1" applyAlignment="1">
      <alignment horizontal="left" wrapText="1"/>
    </xf>
    <xf numFmtId="0" fontId="2" fillId="6" borderId="1" xfId="0" applyFont="1" applyFill="1" applyBorder="1" applyAlignment="1">
      <alignment horizontal="left" wrapText="1"/>
    </xf>
    <xf numFmtId="0" fontId="0" fillId="0" borderId="1" xfId="0" applyBorder="1" applyAlignment="1">
      <alignment wrapText="1"/>
    </xf>
    <xf numFmtId="0" fontId="0" fillId="0" borderId="2" xfId="0" applyBorder="1" applyAlignment="1">
      <alignment wrapText="1"/>
    </xf>
    <xf numFmtId="0" fontId="0" fillId="0" borderId="2" xfId="0" applyBorder="1" applyAlignment="1">
      <alignment horizontal="left" wrapText="1"/>
    </xf>
    <xf numFmtId="0" fontId="0" fillId="0" borderId="3" xfId="0" applyBorder="1" applyAlignment="1">
      <alignment wrapText="1"/>
    </xf>
    <xf numFmtId="0" fontId="0" fillId="0" borderId="3" xfId="0" applyBorder="1" applyAlignment="1">
      <alignment horizontal="left" wrapText="1"/>
    </xf>
    <xf numFmtId="0" fontId="0" fillId="7" borderId="4" xfId="0" applyFill="1" applyBorder="1" applyAlignment="1">
      <alignment horizontal="left" wrapText="1"/>
    </xf>
    <xf numFmtId="0" fontId="1" fillId="8" borderId="0" xfId="0" applyFont="1" applyFill="1" applyAlignment="1">
      <alignment horizontal="center" vertical="center"/>
    </xf>
    <xf numFmtId="0" fontId="1" fillId="8" borderId="0" xfId="0" applyFont="1" applyFill="1" applyAlignment="1">
      <alignment horizontal="center" vertical="center" wrapText="1"/>
    </xf>
    <xf numFmtId="14" fontId="1" fillId="8" borderId="0" xfId="0" applyNumberFormat="1" applyFont="1" applyFill="1" applyAlignment="1">
      <alignment horizontal="center" vertical="center"/>
    </xf>
    <xf numFmtId="0" fontId="1" fillId="8" borderId="4" xfId="0" applyFont="1" applyFill="1" applyBorder="1" applyAlignment="1">
      <alignment horizontal="left" wrapText="1"/>
    </xf>
    <xf numFmtId="0" fontId="1" fillId="8" borderId="0" xfId="0" applyFont="1" applyFill="1"/>
    <xf numFmtId="0" fontId="1" fillId="8" borderId="5" xfId="0" applyFont="1" applyFill="1" applyBorder="1" applyAlignment="1">
      <alignment horizontal="left" wrapText="1"/>
    </xf>
    <xf numFmtId="0" fontId="1" fillId="9" borderId="0" xfId="0" applyFont="1" applyFill="1"/>
    <xf numFmtId="0" fontId="1" fillId="9" borderId="0" xfId="0" applyFont="1" applyFill="1" applyAlignment="1">
      <alignment vertical="center"/>
    </xf>
    <xf numFmtId="0" fontId="1" fillId="9" borderId="1" xfId="0" applyFont="1" applyFill="1" applyBorder="1" applyAlignment="1">
      <alignment horizontal="left" wrapText="1"/>
    </xf>
    <xf numFmtId="0" fontId="1" fillId="10" borderId="0" xfId="0" applyFont="1" applyFill="1" applyAlignment="1">
      <alignment horizontal="center"/>
    </xf>
    <xf numFmtId="0" fontId="0" fillId="0" borderId="5" xfId="0" applyBorder="1" applyAlignment="1">
      <alignment horizontal="left" wrapText="1"/>
    </xf>
    <xf numFmtId="0" fontId="0" fillId="0" borderId="0" xfId="0" applyAlignment="1">
      <alignment horizontal="left" vertical="top" wrapText="1"/>
    </xf>
    <xf numFmtId="0" fontId="0" fillId="0" borderId="0" xfId="0" applyAlignment="1">
      <alignment vertical="center" wrapText="1"/>
    </xf>
    <xf numFmtId="0" fontId="1" fillId="10" borderId="0" xfId="0" applyFont="1" applyFill="1"/>
    <xf numFmtId="0" fontId="0" fillId="10" borderId="0" xfId="0" applyFill="1"/>
    <xf numFmtId="14" fontId="0" fillId="0" borderId="0" xfId="0" applyNumberFormat="1" applyAlignment="1">
      <alignment vertical="center"/>
    </xf>
    <xf numFmtId="0" fontId="0" fillId="0" borderId="0" xfId="0" applyAlignment="1">
      <alignment horizontal="left" vertical="center" wrapText="1"/>
    </xf>
    <xf numFmtId="0" fontId="0" fillId="0" borderId="0" xfId="0" applyAlignment="1">
      <alignment horizontal="left" vertical="top"/>
    </xf>
    <xf numFmtId="0" fontId="0" fillId="0" borderId="1" xfId="0" applyBorder="1"/>
    <xf numFmtId="0" fontId="0" fillId="10" borderId="1" xfId="0" applyFill="1" applyBorder="1"/>
    <xf numFmtId="0" fontId="0" fillId="11" borderId="1" xfId="0" applyFill="1" applyBorder="1"/>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xf numFmtId="0" fontId="1" fillId="10" borderId="0" xfId="0" applyFont="1" applyFill="1" applyAlignment="1">
      <alignment horizontal="center"/>
    </xf>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xf>
    <xf numFmtId="16" fontId="0" fillId="0" borderId="0" xfId="0" applyNumberFormat="1" applyAlignment="1">
      <alignment horizontal="center"/>
    </xf>
    <xf numFmtId="0" fontId="0" fillId="3" borderId="0" xfId="0" applyFill="1" applyAlignment="1">
      <alignment horizontal="center" wrapText="1"/>
    </xf>
    <xf numFmtId="0" fontId="1" fillId="5" borderId="0" xfId="0" applyFont="1" applyFill="1" applyAlignment="1">
      <alignment horizontal="center"/>
    </xf>
    <xf numFmtId="14" fontId="0" fillId="0" borderId="0" xfId="0" applyNumberFormat="1" applyAlignment="1">
      <alignment horizontal="center" vertical="center"/>
    </xf>
    <xf numFmtId="0" fontId="0" fillId="12" borderId="1" xfId="0" applyFill="1" applyBorder="1" applyAlignment="1">
      <alignment horizontal="center"/>
    </xf>
    <xf numFmtId="0" fontId="0" fillId="0" borderId="0" xfId="0" applyFont="1"/>
    <xf numFmtId="0" fontId="0" fillId="0" borderId="0" xfId="0" applyAlignment="1">
      <alignment vertical="top"/>
    </xf>
    <xf numFmtId="0" fontId="0" fillId="0" borderId="0" xfId="0" applyAlignment="1">
      <alignment vertical="top" wrapText="1"/>
    </xf>
    <xf numFmtId="0" fontId="9" fillId="0" borderId="0" xfId="0" applyFont="1" applyAlignment="1">
      <alignment wrapText="1"/>
    </xf>
    <xf numFmtId="0" fontId="0" fillId="0" borderId="0" xfId="0" applyAlignment="1">
      <alignment horizontal="right"/>
    </xf>
    <xf numFmtId="0" fontId="0" fillId="0" borderId="0" xfId="0" applyAlignment="1">
      <alignment horizontal="right" vertical="top" wrapText="1"/>
    </xf>
    <xf numFmtId="2" fontId="0" fillId="0" borderId="0" xfId="0" applyNumberFormat="1" applyAlignment="1">
      <alignment vertical="top"/>
    </xf>
    <xf numFmtId="0" fontId="0" fillId="0" borderId="0" xfId="0" applyFont="1" applyAlignment="1">
      <alignment wrapText="1"/>
    </xf>
    <xf numFmtId="0" fontId="7" fillId="0" borderId="0" xfId="0" applyFont="1"/>
    <xf numFmtId="168" fontId="0" fillId="0" borderId="0" xfId="0" applyNumberFormat="1" applyAlignment="1">
      <alignment vertical="top"/>
    </xf>
    <xf numFmtId="0" fontId="1" fillId="11" borderId="0" xfId="0" applyFont="1" applyFill="1" applyAlignment="1">
      <alignment horizontal="center"/>
    </xf>
    <xf numFmtId="0" fontId="0" fillId="11" borderId="0" xfId="0" applyFill="1" applyAlignment="1">
      <alignment horizontal="center"/>
    </xf>
    <xf numFmtId="0" fontId="1" fillId="10" borderId="0" xfId="0" applyFont="1" applyFill="1"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5" dT="2026-08-21T09:15:33.65" personId="{00000000-0000-0000-0000-000000000000}" id="{7A857420-A344-4A5B-B5A5-8DCCE0278C3D}">
    <text xml:space="preserve">Do we display all concerns or just top n 
</text>
  </threadedComment>
  <threadedComment ref="D153" dT="2026-08-21T10:26:11.01" personId="{00000000-0000-0000-0000-000000000000}" id="{62DF36E2-EA7C-49D8-8C48-B87BDEFAC85F}">
    <text xml:space="preserve">Do we need for MVP?
</text>
  </threadedComment>
</ThreadedComments>
</file>

<file path=xl/threadedComments/threadedComment2.xml><?xml version="1.0" encoding="utf-8"?>
<ThreadedComments xmlns="http://schemas.microsoft.com/office/spreadsheetml/2018/threadedcomments" xmlns:x="http://schemas.openxmlformats.org/spreadsheetml/2006/main">
  <threadedComment ref="E5" dT="2026-08-20T15:41:46.67" personId="{00000000-0000-0000-0000-000000000000}" id="{233094A3-3D2A-436A-904F-A8273DA397F5}">
    <text>Should all skin concerns be listed when we are only addressing top n.</text>
  </threadedComment>
  <threadedComment ref="D7" dT="2026-08-20T15:38:33.80" personId="{00000000-0000-0000-0000-000000000000}" id="{08942A35-04A9-4798-9BE7-511ACD0FC8D0}">
    <text xml:space="preserve">Upto what limit can a user repeat the process?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5"/>
  <sheetViews>
    <sheetView topLeftCell="A7" zoomScaleNormal="100" workbookViewId="0">
      <selection activeCell="J1" sqref="J1"/>
    </sheetView>
  </sheetViews>
  <sheetFormatPr defaultColWidth="9.109375" defaultRowHeight="14.4"/>
  <cols>
    <col min="1" max="1" width="9.109375" style="1"/>
    <col min="2" max="2" width="3.5546875" style="1" bestFit="1" customWidth="1"/>
    <col min="3" max="3" width="44" style="1" customWidth="1"/>
    <col min="4" max="4" width="10.5546875" style="1" bestFit="1" customWidth="1"/>
    <col min="5" max="5" width="8.88671875" style="1" bestFit="1" customWidth="1"/>
    <col min="6" max="6" width="54.21875" style="1" customWidth="1"/>
    <col min="7" max="16384" width="9.109375" style="1"/>
  </cols>
  <sheetData>
    <row r="1" spans="1:7" ht="28.8">
      <c r="A1" s="2" t="s">
        <v>8</v>
      </c>
      <c r="B1" s="2" t="s">
        <v>10</v>
      </c>
      <c r="C1" s="2" t="s">
        <v>5</v>
      </c>
      <c r="D1" s="2" t="s">
        <v>6</v>
      </c>
      <c r="E1" s="2" t="s">
        <v>2</v>
      </c>
      <c r="F1" s="2" t="s">
        <v>7</v>
      </c>
      <c r="G1" s="2" t="s">
        <v>14</v>
      </c>
    </row>
    <row r="2" spans="1:7" ht="28.8">
      <c r="A2" s="1" t="s">
        <v>9</v>
      </c>
      <c r="B2" s="1">
        <v>1</v>
      </c>
      <c r="C2" s="1" t="s">
        <v>0</v>
      </c>
      <c r="D2" s="1" t="s">
        <v>1</v>
      </c>
      <c r="E2" s="3">
        <v>46240</v>
      </c>
      <c r="G2" s="3">
        <v>46245</v>
      </c>
    </row>
    <row r="3" spans="1:7" ht="57.6">
      <c r="B3" s="1">
        <v>2</v>
      </c>
      <c r="C3" s="1" t="s">
        <v>33</v>
      </c>
      <c r="D3" s="1" t="s">
        <v>1</v>
      </c>
      <c r="E3" s="3">
        <v>46244</v>
      </c>
      <c r="F3" s="1" t="s">
        <v>3</v>
      </c>
      <c r="G3" s="3">
        <v>46245</v>
      </c>
    </row>
    <row r="4" spans="1:7" ht="28.8">
      <c r="B4" s="1">
        <v>3</v>
      </c>
      <c r="C4" s="1" t="s">
        <v>17</v>
      </c>
      <c r="D4" s="1" t="s">
        <v>31</v>
      </c>
      <c r="E4" s="3">
        <v>46240</v>
      </c>
      <c r="G4" s="3">
        <v>46248</v>
      </c>
    </row>
    <row r="5" spans="1:7" ht="28.8">
      <c r="B5" s="1">
        <v>4</v>
      </c>
      <c r="C5" s="1" t="s">
        <v>11</v>
      </c>
      <c r="D5" s="1" t="s">
        <v>31</v>
      </c>
      <c r="E5" s="3">
        <v>46240</v>
      </c>
      <c r="G5" s="3">
        <v>46248</v>
      </c>
    </row>
    <row r="6" spans="1:7" ht="28.8">
      <c r="B6" s="1">
        <v>5</v>
      </c>
      <c r="C6" s="1" t="s">
        <v>12</v>
      </c>
      <c r="D6" s="1" t="s">
        <v>31</v>
      </c>
      <c r="E6" s="3">
        <v>46240</v>
      </c>
      <c r="G6" s="3">
        <v>46248</v>
      </c>
    </row>
    <row r="7" spans="1:7" ht="28.8">
      <c r="B7" s="1">
        <v>6</v>
      </c>
      <c r="C7" s="1" t="s">
        <v>13</v>
      </c>
      <c r="D7" s="1" t="s">
        <v>31</v>
      </c>
      <c r="E7" s="3">
        <v>46240</v>
      </c>
      <c r="G7" s="3">
        <v>46262</v>
      </c>
    </row>
    <row r="8" spans="1:7" ht="28.8">
      <c r="B8" s="1">
        <v>7</v>
      </c>
      <c r="C8" s="1" t="s">
        <v>32</v>
      </c>
      <c r="D8" s="1" t="s">
        <v>31</v>
      </c>
      <c r="E8" s="3">
        <v>46240</v>
      </c>
      <c r="G8" s="3">
        <v>46262</v>
      </c>
    </row>
    <row r="9" spans="1:7" ht="28.8">
      <c r="A9" s="1" t="s">
        <v>4</v>
      </c>
      <c r="B9" s="1">
        <v>8</v>
      </c>
      <c r="C9" s="1" t="s">
        <v>15</v>
      </c>
      <c r="D9" s="1" t="s">
        <v>30</v>
      </c>
      <c r="E9" s="3">
        <v>46240</v>
      </c>
      <c r="F9" s="1" t="s">
        <v>16</v>
      </c>
      <c r="G9" s="3">
        <v>46248</v>
      </c>
    </row>
    <row r="10" spans="1:7" s="10" customFormat="1" ht="28.8">
      <c r="A10" s="6"/>
      <c r="B10" s="6">
        <v>9</v>
      </c>
      <c r="C10" s="6" t="s">
        <v>34</v>
      </c>
      <c r="D10" s="6"/>
      <c r="E10" s="7"/>
      <c r="F10" s="6" t="s">
        <v>35</v>
      </c>
      <c r="G10" s="7"/>
    </row>
    <row r="11" spans="1:7" ht="43.2">
      <c r="B11" s="1">
        <v>10</v>
      </c>
      <c r="C11" s="1" t="s">
        <v>18</v>
      </c>
      <c r="D11" s="1" t="s">
        <v>30</v>
      </c>
      <c r="E11" s="3">
        <v>46240</v>
      </c>
      <c r="F11" s="1" t="s">
        <v>19</v>
      </c>
      <c r="G11" s="3">
        <v>46248</v>
      </c>
    </row>
    <row r="12" spans="1:7" s="4" customFormat="1" ht="28.8">
      <c r="B12" s="4">
        <v>10</v>
      </c>
      <c r="C12" s="4" t="s">
        <v>20</v>
      </c>
      <c r="D12" s="4" t="s">
        <v>30</v>
      </c>
      <c r="E12" s="5">
        <v>46240</v>
      </c>
      <c r="F12" s="4" t="s">
        <v>21</v>
      </c>
      <c r="G12" s="5">
        <v>46248</v>
      </c>
    </row>
    <row r="13" spans="1:7" s="10" customFormat="1">
      <c r="A13" s="6"/>
      <c r="B13" s="6">
        <v>11</v>
      </c>
      <c r="C13" s="6" t="s">
        <v>36</v>
      </c>
      <c r="D13" s="6"/>
      <c r="E13" s="7"/>
      <c r="F13" s="6"/>
      <c r="G13" s="7"/>
    </row>
    <row r="14" spans="1:7" s="4" customFormat="1" ht="57.6">
      <c r="B14" s="4">
        <v>11</v>
      </c>
      <c r="C14" s="4" t="s">
        <v>22</v>
      </c>
      <c r="D14" s="4" t="s">
        <v>30</v>
      </c>
      <c r="E14" s="5">
        <v>46240</v>
      </c>
      <c r="F14" s="4" t="s">
        <v>23</v>
      </c>
      <c r="G14" s="5">
        <v>46248</v>
      </c>
    </row>
    <row r="15" spans="1:7" s="11" customFormat="1" ht="28.8">
      <c r="A15" s="8"/>
      <c r="B15" s="8">
        <v>12</v>
      </c>
      <c r="C15" s="8" t="s">
        <v>39</v>
      </c>
      <c r="D15" s="8"/>
      <c r="E15" s="9"/>
      <c r="F15" s="8"/>
      <c r="G15" s="9"/>
    </row>
    <row r="16" spans="1:7" ht="28.8">
      <c r="B16" s="1">
        <v>13</v>
      </c>
      <c r="C16" s="1" t="s">
        <v>41</v>
      </c>
      <c r="D16" s="1" t="s">
        <v>30</v>
      </c>
      <c r="E16" s="3">
        <v>46246</v>
      </c>
      <c r="G16" s="3">
        <v>46252</v>
      </c>
    </row>
    <row r="17" spans="1:7" s="4" customFormat="1" ht="28.8">
      <c r="B17" s="4">
        <v>13</v>
      </c>
      <c r="C17" s="4" t="s">
        <v>24</v>
      </c>
      <c r="D17" s="4" t="s">
        <v>30</v>
      </c>
      <c r="E17" s="5">
        <v>46251</v>
      </c>
      <c r="F17" s="4" t="s">
        <v>25</v>
      </c>
      <c r="G17" s="5">
        <v>46255</v>
      </c>
    </row>
    <row r="18" spans="1:7" s="10" customFormat="1" ht="72">
      <c r="A18" s="6"/>
      <c r="B18" s="6">
        <v>14</v>
      </c>
      <c r="C18" s="6" t="s">
        <v>37</v>
      </c>
      <c r="D18" s="6"/>
      <c r="E18" s="7"/>
      <c r="F18" s="6" t="s">
        <v>42</v>
      </c>
      <c r="G18" s="7"/>
    </row>
    <row r="19" spans="1:7" s="10" customFormat="1" ht="28.8">
      <c r="A19" s="6"/>
      <c r="B19" s="6">
        <v>15</v>
      </c>
      <c r="C19" s="6" t="s">
        <v>38</v>
      </c>
      <c r="D19" s="6"/>
      <c r="E19" s="7"/>
      <c r="F19" s="6" t="s">
        <v>40</v>
      </c>
      <c r="G19" s="7"/>
    </row>
    <row r="20" spans="1:7" s="4" customFormat="1" ht="28.8">
      <c r="B20" s="4">
        <v>14</v>
      </c>
      <c r="C20" s="4" t="s">
        <v>26</v>
      </c>
      <c r="D20" s="4" t="s">
        <v>30</v>
      </c>
      <c r="E20" s="5">
        <v>46251</v>
      </c>
      <c r="F20" s="4" t="s">
        <v>25</v>
      </c>
      <c r="G20" s="5">
        <v>46255</v>
      </c>
    </row>
    <row r="21" spans="1:7" s="4" customFormat="1" ht="28.8">
      <c r="A21" s="6"/>
      <c r="B21" s="6">
        <v>16</v>
      </c>
      <c r="C21" s="6" t="s">
        <v>43</v>
      </c>
      <c r="D21" s="6"/>
      <c r="E21" s="7"/>
      <c r="F21" s="6" t="s">
        <v>44</v>
      </c>
      <c r="G21" s="7"/>
    </row>
    <row r="22" spans="1:7" s="4" customFormat="1" ht="28.8">
      <c r="B22" s="4">
        <v>15</v>
      </c>
      <c r="C22" s="4" t="s">
        <v>27</v>
      </c>
      <c r="D22" s="4" t="s">
        <v>30</v>
      </c>
      <c r="E22" s="5">
        <v>46251</v>
      </c>
      <c r="F22" s="4" t="s">
        <v>25</v>
      </c>
      <c r="G22" s="5">
        <v>46255</v>
      </c>
    </row>
    <row r="23" spans="1:7" s="4" customFormat="1" ht="28.8">
      <c r="B23" s="4">
        <v>16</v>
      </c>
      <c r="C23" s="4" t="s">
        <v>28</v>
      </c>
      <c r="D23" s="4" t="s">
        <v>30</v>
      </c>
      <c r="E23" s="5">
        <v>46258</v>
      </c>
      <c r="F23" s="4" t="s">
        <v>25</v>
      </c>
      <c r="G23" s="5">
        <v>46262</v>
      </c>
    </row>
    <row r="24" spans="1:7" s="4" customFormat="1">
      <c r="A24" s="6"/>
      <c r="B24" s="6">
        <v>17</v>
      </c>
      <c r="C24" s="6" t="s">
        <v>45</v>
      </c>
      <c r="D24" s="6"/>
      <c r="E24" s="7"/>
      <c r="F24" s="12" t="s">
        <v>46</v>
      </c>
      <c r="G24" s="7"/>
    </row>
    <row r="25" spans="1:7" ht="28.8">
      <c r="B25" s="1">
        <v>18</v>
      </c>
      <c r="C25" s="1" t="s">
        <v>29</v>
      </c>
      <c r="D25" s="1" t="s">
        <v>30</v>
      </c>
      <c r="E25" s="3">
        <v>46258</v>
      </c>
      <c r="F25" s="10" t="s">
        <v>25</v>
      </c>
      <c r="G25" s="3">
        <v>46262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C61C-1A55-4D93-BE97-335A9CE60726}">
  <dimension ref="A1:L31"/>
  <sheetViews>
    <sheetView zoomScaleNormal="100" workbookViewId="0">
      <selection activeCell="E15" sqref="E15"/>
    </sheetView>
  </sheetViews>
  <sheetFormatPr defaultRowHeight="14.4"/>
  <cols>
    <col min="1" max="1" width="10.77734375" customWidth="1"/>
    <col min="2" max="2" width="10.77734375" style="14" customWidth="1"/>
    <col min="3" max="3" width="15.109375" customWidth="1"/>
    <col min="4" max="4" width="21.44140625" style="13" customWidth="1"/>
    <col min="5" max="5" width="33.33203125" style="13" customWidth="1"/>
    <col min="6" max="6" width="11.77734375" customWidth="1"/>
    <col min="7" max="8" width="11.44140625" customWidth="1"/>
    <col min="9" max="9" width="25.6640625" customWidth="1"/>
    <col min="10" max="10" width="12.21875" customWidth="1"/>
    <col min="12" max="12" width="22.77734375" customWidth="1"/>
  </cols>
  <sheetData>
    <row r="1" spans="1:12">
      <c r="A1" s="79" t="s">
        <v>69</v>
      </c>
      <c r="B1" s="79"/>
      <c r="C1" s="79"/>
      <c r="D1" s="79"/>
      <c r="E1" s="79"/>
      <c r="F1" s="79"/>
      <c r="G1" s="79"/>
      <c r="H1" s="79"/>
      <c r="I1" s="79"/>
      <c r="J1" s="79"/>
      <c r="K1" s="79"/>
      <c r="L1" s="79"/>
    </row>
    <row r="2" spans="1:12">
      <c r="A2" s="15" t="s">
        <v>79</v>
      </c>
      <c r="B2" s="16" t="s">
        <v>67</v>
      </c>
      <c r="C2" s="15" t="s">
        <v>78</v>
      </c>
      <c r="D2" s="17" t="s">
        <v>5</v>
      </c>
      <c r="E2" s="17" t="s">
        <v>47</v>
      </c>
      <c r="F2" s="15" t="s">
        <v>82</v>
      </c>
      <c r="G2" s="15" t="s">
        <v>83</v>
      </c>
      <c r="H2" s="15" t="s">
        <v>93</v>
      </c>
      <c r="I2" s="15" t="s">
        <v>68</v>
      </c>
      <c r="J2" s="15" t="s">
        <v>70</v>
      </c>
      <c r="K2" s="15" t="s">
        <v>86</v>
      </c>
      <c r="L2" s="15" t="s">
        <v>97</v>
      </c>
    </row>
    <row r="3" spans="1:12" ht="58.8" customHeight="1">
      <c r="A3" s="76">
        <v>1</v>
      </c>
      <c r="B3" s="76">
        <v>1</v>
      </c>
      <c r="C3">
        <v>1.1000000000000001</v>
      </c>
      <c r="D3" s="13" t="s">
        <v>48</v>
      </c>
      <c r="E3" s="13" t="s">
        <v>49</v>
      </c>
      <c r="F3" s="80">
        <v>46252</v>
      </c>
      <c r="G3" s="76" t="s">
        <v>94</v>
      </c>
      <c r="H3" s="80">
        <v>46259</v>
      </c>
      <c r="I3" s="76" t="s">
        <v>88</v>
      </c>
      <c r="J3" s="76" t="s">
        <v>99</v>
      </c>
    </row>
    <row r="4" spans="1:12" ht="54.6" customHeight="1">
      <c r="A4" s="76"/>
      <c r="B4" s="76"/>
      <c r="C4">
        <v>1.2</v>
      </c>
      <c r="D4" s="13" t="s">
        <v>48</v>
      </c>
      <c r="E4" s="13" t="s">
        <v>50</v>
      </c>
      <c r="F4" s="80"/>
      <c r="G4" s="76"/>
      <c r="H4" s="76"/>
      <c r="I4" s="76"/>
      <c r="J4" s="76"/>
    </row>
    <row r="5" spans="1:12" ht="33.6" customHeight="1">
      <c r="A5" s="76"/>
      <c r="B5" s="76"/>
      <c r="C5">
        <v>1.3</v>
      </c>
      <c r="D5" s="13" t="s">
        <v>48</v>
      </c>
      <c r="E5" s="13" t="s">
        <v>51</v>
      </c>
      <c r="F5" s="80"/>
      <c r="G5" s="76"/>
      <c r="H5" s="76"/>
      <c r="I5" s="76"/>
      <c r="J5" s="76"/>
    </row>
    <row r="6" spans="1:12" ht="26.4" customHeight="1">
      <c r="A6" s="76"/>
      <c r="B6" s="76"/>
      <c r="C6">
        <v>1.4</v>
      </c>
      <c r="D6" s="13" t="s">
        <v>48</v>
      </c>
      <c r="E6" s="13" t="s">
        <v>52</v>
      </c>
      <c r="F6" s="80"/>
      <c r="G6" s="76"/>
      <c r="H6" s="76"/>
      <c r="I6" s="76"/>
      <c r="J6" s="76"/>
    </row>
    <row r="7" spans="1:12" ht="72.599999999999994" customHeight="1">
      <c r="A7" s="76"/>
      <c r="B7" s="76"/>
      <c r="C7">
        <v>1.5</v>
      </c>
      <c r="D7" s="13" t="s">
        <v>48</v>
      </c>
      <c r="E7" s="13" t="s">
        <v>53</v>
      </c>
      <c r="F7" s="80"/>
      <c r="G7" s="76"/>
      <c r="H7" s="76"/>
      <c r="I7" s="76"/>
      <c r="J7" s="76"/>
    </row>
    <row r="8" spans="1:12" ht="28.8">
      <c r="A8" s="76"/>
      <c r="B8" s="76">
        <v>2</v>
      </c>
      <c r="C8">
        <v>2.1</v>
      </c>
      <c r="D8" s="13" t="s">
        <v>54</v>
      </c>
      <c r="E8" s="13" t="s">
        <v>55</v>
      </c>
      <c r="F8" s="80">
        <v>46252</v>
      </c>
      <c r="G8" s="76" t="s">
        <v>90</v>
      </c>
      <c r="H8" s="80">
        <v>46258</v>
      </c>
      <c r="I8" s="76" t="s">
        <v>89</v>
      </c>
      <c r="J8" s="76"/>
    </row>
    <row r="9" spans="1:12" ht="28.8">
      <c r="A9" s="76"/>
      <c r="B9" s="76"/>
      <c r="C9">
        <v>2.2000000000000002</v>
      </c>
      <c r="D9" s="13" t="s">
        <v>54</v>
      </c>
      <c r="E9" s="13" t="s">
        <v>85</v>
      </c>
      <c r="F9" s="80"/>
      <c r="G9" s="76"/>
      <c r="H9" s="80"/>
      <c r="I9" s="76"/>
      <c r="J9" s="76"/>
    </row>
    <row r="10" spans="1:12" ht="43.2">
      <c r="A10" s="76"/>
      <c r="B10" s="76"/>
      <c r="C10">
        <v>2.2999999999999998</v>
      </c>
      <c r="D10" s="13" t="s">
        <v>54</v>
      </c>
      <c r="E10" s="13" t="s">
        <v>87</v>
      </c>
      <c r="F10" s="80"/>
      <c r="G10" s="76"/>
      <c r="H10" s="80"/>
      <c r="I10" s="76"/>
      <c r="J10" s="76"/>
    </row>
    <row r="11" spans="1:12" ht="28.8">
      <c r="A11" s="76"/>
      <c r="B11" s="76">
        <v>3</v>
      </c>
      <c r="C11">
        <v>3.1</v>
      </c>
      <c r="D11" s="13" t="s">
        <v>56</v>
      </c>
      <c r="E11" s="13" t="s">
        <v>84</v>
      </c>
      <c r="F11" s="80"/>
      <c r="G11" s="76"/>
      <c r="H11" s="80"/>
      <c r="I11" s="76"/>
      <c r="J11" s="76"/>
    </row>
    <row r="12" spans="1:12" ht="28.8">
      <c r="A12" s="76"/>
      <c r="B12" s="76"/>
      <c r="C12">
        <v>3.2</v>
      </c>
      <c r="D12" s="13" t="s">
        <v>56</v>
      </c>
      <c r="E12" s="13" t="s">
        <v>57</v>
      </c>
      <c r="F12" s="22">
        <v>46255</v>
      </c>
      <c r="G12" s="14" t="s">
        <v>92</v>
      </c>
      <c r="H12" s="22">
        <v>46259</v>
      </c>
      <c r="I12" s="14" t="s">
        <v>91</v>
      </c>
      <c r="J12" s="76"/>
    </row>
    <row r="13" spans="1:12" ht="28.8">
      <c r="A13" s="76"/>
      <c r="B13" s="76">
        <v>4</v>
      </c>
      <c r="C13">
        <v>4.0999999999999996</v>
      </c>
      <c r="D13" s="13" t="s">
        <v>58</v>
      </c>
      <c r="E13" s="13" t="s">
        <v>84</v>
      </c>
      <c r="F13" s="22">
        <v>46252</v>
      </c>
      <c r="G13" s="14" t="s">
        <v>90</v>
      </c>
      <c r="H13" s="22">
        <v>46258</v>
      </c>
      <c r="I13" s="14" t="s">
        <v>89</v>
      </c>
      <c r="J13" s="76"/>
    </row>
    <row r="14" spans="1:12" ht="28.8">
      <c r="A14" s="76"/>
      <c r="B14" s="76"/>
      <c r="C14">
        <v>4.2</v>
      </c>
      <c r="D14" s="13" t="s">
        <v>58</v>
      </c>
      <c r="E14" s="13" t="s">
        <v>57</v>
      </c>
      <c r="F14" s="22">
        <v>46255</v>
      </c>
      <c r="G14" s="14" t="s">
        <v>92</v>
      </c>
      <c r="H14" s="22">
        <v>46259</v>
      </c>
      <c r="I14" s="14" t="s">
        <v>91</v>
      </c>
      <c r="J14" s="76"/>
    </row>
    <row r="15" spans="1:12" ht="28.8">
      <c r="A15" s="76"/>
      <c r="B15" s="14">
        <v>9</v>
      </c>
      <c r="C15">
        <v>9.4</v>
      </c>
      <c r="D15" s="13" t="s">
        <v>29</v>
      </c>
      <c r="E15" s="13" t="s">
        <v>77</v>
      </c>
      <c r="F15" s="80" t="s">
        <v>96</v>
      </c>
      <c r="G15" s="80"/>
      <c r="H15" s="80"/>
      <c r="I15" s="14" t="s">
        <v>1</v>
      </c>
      <c r="J15" s="76"/>
      <c r="L15" t="s">
        <v>98</v>
      </c>
    </row>
    <row r="16" spans="1:12">
      <c r="A16" s="23"/>
      <c r="B16" s="24"/>
      <c r="C16" s="25"/>
      <c r="D16" s="78" t="s">
        <v>95</v>
      </c>
      <c r="E16" s="78"/>
      <c r="F16" s="26">
        <v>46198</v>
      </c>
      <c r="G16" s="27">
        <v>0.625</v>
      </c>
      <c r="H16" s="26"/>
      <c r="I16" s="24"/>
    </row>
    <row r="17" spans="1:9" ht="86.4">
      <c r="A17" s="76">
        <v>2</v>
      </c>
      <c r="B17" s="76">
        <v>5</v>
      </c>
      <c r="C17">
        <v>5.0999999999999996</v>
      </c>
      <c r="D17" s="13" t="s">
        <v>59</v>
      </c>
      <c r="E17" s="13" t="s">
        <v>60</v>
      </c>
      <c r="F17" s="21">
        <v>46260</v>
      </c>
      <c r="G17" s="74" t="s">
        <v>100</v>
      </c>
      <c r="H17" s="75">
        <v>46262</v>
      </c>
      <c r="I17" s="74" t="s">
        <v>89</v>
      </c>
    </row>
    <row r="18" spans="1:9" ht="28.8">
      <c r="A18" s="76"/>
      <c r="B18" s="76"/>
      <c r="C18">
        <v>5.2</v>
      </c>
      <c r="D18" s="13" t="s">
        <v>59</v>
      </c>
      <c r="E18" s="13" t="s">
        <v>61</v>
      </c>
      <c r="G18" s="74"/>
      <c r="H18" s="74"/>
      <c r="I18" s="74"/>
    </row>
    <row r="19" spans="1:9" ht="86.4">
      <c r="A19" s="76"/>
      <c r="B19" s="76">
        <v>6</v>
      </c>
      <c r="C19">
        <v>6.1</v>
      </c>
      <c r="D19" s="13" t="s">
        <v>37</v>
      </c>
      <c r="E19" s="13" t="s">
        <v>103</v>
      </c>
      <c r="F19" s="75">
        <v>46260</v>
      </c>
      <c r="G19" s="74" t="s">
        <v>94</v>
      </c>
      <c r="H19" s="75">
        <v>46267</v>
      </c>
      <c r="I19" s="74" t="s">
        <v>101</v>
      </c>
    </row>
    <row r="20" spans="1:9" ht="28.8">
      <c r="A20" s="76"/>
      <c r="B20" s="76"/>
      <c r="C20">
        <v>6.2</v>
      </c>
      <c r="D20" s="13" t="s">
        <v>37</v>
      </c>
      <c r="E20" s="13" t="s">
        <v>62</v>
      </c>
      <c r="F20" s="74"/>
      <c r="G20" s="74"/>
      <c r="H20" s="74"/>
      <c r="I20" s="74"/>
    </row>
    <row r="21" spans="1:9" ht="43.8" customHeight="1">
      <c r="A21" s="76"/>
      <c r="B21" s="76"/>
      <c r="C21" s="18">
        <v>6.3</v>
      </c>
      <c r="D21" s="19" t="s">
        <v>80</v>
      </c>
      <c r="E21" s="20" t="s">
        <v>81</v>
      </c>
      <c r="F21" s="74"/>
      <c r="G21" s="74"/>
      <c r="H21" s="74"/>
      <c r="I21" s="74"/>
    </row>
    <row r="22" spans="1:9" ht="28.8">
      <c r="A22" s="76"/>
      <c r="B22" s="76"/>
      <c r="C22">
        <v>6.4</v>
      </c>
      <c r="D22" s="13" t="s">
        <v>37</v>
      </c>
      <c r="E22" s="13" t="s">
        <v>63</v>
      </c>
      <c r="F22" s="74"/>
      <c r="G22" s="74"/>
      <c r="H22" s="74"/>
      <c r="I22" s="74"/>
    </row>
    <row r="23" spans="1:9" ht="28.8">
      <c r="A23" s="76"/>
      <c r="B23" s="76">
        <v>7</v>
      </c>
      <c r="C23">
        <v>7.1</v>
      </c>
      <c r="D23" s="13" t="s">
        <v>64</v>
      </c>
      <c r="E23" s="13" t="s">
        <v>65</v>
      </c>
      <c r="F23" s="75">
        <v>46260</v>
      </c>
      <c r="G23" s="74" t="s">
        <v>94</v>
      </c>
      <c r="H23" s="75">
        <v>46267</v>
      </c>
      <c r="I23" s="74" t="s">
        <v>91</v>
      </c>
    </row>
    <row r="24" spans="1:9">
      <c r="A24" s="76"/>
      <c r="B24" s="76"/>
      <c r="C24">
        <v>7.2</v>
      </c>
      <c r="D24" s="13" t="s">
        <v>64</v>
      </c>
      <c r="E24" s="13" t="s">
        <v>66</v>
      </c>
      <c r="F24" s="74"/>
      <c r="G24" s="74"/>
      <c r="H24" s="74"/>
      <c r="I24" s="74"/>
    </row>
    <row r="25" spans="1:9" ht="43.2">
      <c r="A25" s="76"/>
      <c r="B25" s="76">
        <v>8</v>
      </c>
      <c r="C25">
        <v>8.1</v>
      </c>
      <c r="D25" s="13" t="s">
        <v>71</v>
      </c>
      <c r="E25" s="13" t="s">
        <v>72</v>
      </c>
      <c r="F25" s="77">
        <v>46260</v>
      </c>
      <c r="G25" s="74" t="s">
        <v>94</v>
      </c>
      <c r="H25" s="75">
        <v>46267</v>
      </c>
      <c r="I25" s="74" t="s">
        <v>102</v>
      </c>
    </row>
    <row r="26" spans="1:9" ht="28.8">
      <c r="A26" s="76"/>
      <c r="B26" s="76"/>
      <c r="C26">
        <v>8.1999999999999993</v>
      </c>
      <c r="D26" s="13" t="s">
        <v>71</v>
      </c>
      <c r="E26" s="13" t="s">
        <v>73</v>
      </c>
      <c r="F26" s="77"/>
      <c r="G26" s="74"/>
      <c r="H26" s="74"/>
      <c r="I26" s="74"/>
    </row>
    <row r="27" spans="1:9">
      <c r="A27" s="24"/>
      <c r="B27" s="24"/>
      <c r="C27" s="25"/>
      <c r="D27" s="28"/>
      <c r="E27" s="28" t="s">
        <v>95</v>
      </c>
      <c r="F27" s="29">
        <v>46266</v>
      </c>
      <c r="G27" s="30">
        <v>0.625</v>
      </c>
      <c r="H27" s="23"/>
      <c r="I27" s="23"/>
    </row>
    <row r="28" spans="1:9" ht="43.2">
      <c r="A28" s="76">
        <v>3</v>
      </c>
      <c r="B28" s="76">
        <v>9</v>
      </c>
      <c r="C28">
        <v>9.1</v>
      </c>
      <c r="D28" s="13" t="s">
        <v>29</v>
      </c>
      <c r="E28" s="13" t="s">
        <v>74</v>
      </c>
      <c r="F28" s="75">
        <v>46268</v>
      </c>
      <c r="G28" s="74" t="s">
        <v>94</v>
      </c>
      <c r="H28" s="75">
        <v>46275</v>
      </c>
      <c r="I28" s="74" t="s">
        <v>96</v>
      </c>
    </row>
    <row r="29" spans="1:9" ht="28.8">
      <c r="A29" s="76"/>
      <c r="B29" s="76"/>
      <c r="C29">
        <v>9.1999999999999993</v>
      </c>
      <c r="D29" s="13" t="s">
        <v>29</v>
      </c>
      <c r="E29" s="13" t="s">
        <v>75</v>
      </c>
      <c r="F29" s="75"/>
      <c r="G29" s="74"/>
      <c r="H29" s="75"/>
      <c r="I29" s="74"/>
    </row>
    <row r="30" spans="1:9" ht="28.8">
      <c r="A30" s="76"/>
      <c r="B30" s="76"/>
      <c r="C30">
        <v>9.3000000000000007</v>
      </c>
      <c r="D30" s="13" t="s">
        <v>29</v>
      </c>
      <c r="E30" s="13" t="s">
        <v>76</v>
      </c>
      <c r="F30" s="75"/>
      <c r="G30" s="74"/>
      <c r="H30" s="75"/>
      <c r="I30" s="74"/>
    </row>
    <row r="31" spans="1:9">
      <c r="A31" s="76"/>
      <c r="B31" s="76"/>
    </row>
  </sheetData>
  <mergeCells count="43">
    <mergeCell ref="D16:E16"/>
    <mergeCell ref="A1:L1"/>
    <mergeCell ref="J3:J15"/>
    <mergeCell ref="H3:H7"/>
    <mergeCell ref="F8:F11"/>
    <mergeCell ref="G8:G11"/>
    <mergeCell ref="H8:H11"/>
    <mergeCell ref="I8:I11"/>
    <mergeCell ref="I3:I7"/>
    <mergeCell ref="G3:G7"/>
    <mergeCell ref="A3:A15"/>
    <mergeCell ref="F3:F7"/>
    <mergeCell ref="F15:H15"/>
    <mergeCell ref="B3:B7"/>
    <mergeCell ref="B8:B10"/>
    <mergeCell ref="B11:B12"/>
    <mergeCell ref="B13:B14"/>
    <mergeCell ref="A17:A26"/>
    <mergeCell ref="A28:A31"/>
    <mergeCell ref="B17:B18"/>
    <mergeCell ref="B19:B22"/>
    <mergeCell ref="F19:F22"/>
    <mergeCell ref="B23:B24"/>
    <mergeCell ref="B25:B26"/>
    <mergeCell ref="B28:B31"/>
    <mergeCell ref="F28:F30"/>
    <mergeCell ref="F23:F24"/>
    <mergeCell ref="F25:F26"/>
    <mergeCell ref="I25:I26"/>
    <mergeCell ref="I17:I18"/>
    <mergeCell ref="G19:G22"/>
    <mergeCell ref="H19:H22"/>
    <mergeCell ref="I28:I30"/>
    <mergeCell ref="I23:I24"/>
    <mergeCell ref="I19:I22"/>
    <mergeCell ref="H17:H18"/>
    <mergeCell ref="G17:G18"/>
    <mergeCell ref="H28:H30"/>
    <mergeCell ref="G28:G30"/>
    <mergeCell ref="G23:G24"/>
    <mergeCell ref="H23:H24"/>
    <mergeCell ref="G25:G26"/>
    <mergeCell ref="H25:H26"/>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77794A-BDEC-4305-8F7F-332456871660}">
  <dimension ref="A1:V42"/>
  <sheetViews>
    <sheetView topLeftCell="E1" zoomScale="93" workbookViewId="0">
      <selection activeCell="C3" sqref="C3"/>
    </sheetView>
  </sheetViews>
  <sheetFormatPr defaultRowHeight="14.4"/>
  <cols>
    <col min="1" max="1" width="12.44140625" customWidth="1"/>
    <col min="2" max="2" width="17.6640625" bestFit="1" customWidth="1"/>
    <col min="3" max="3" width="24" bestFit="1" customWidth="1"/>
    <col min="4" max="4" width="63.77734375" customWidth="1"/>
    <col min="5" max="5" width="65.5546875" bestFit="1" customWidth="1"/>
    <col min="6" max="7" width="10.88671875" customWidth="1"/>
    <col min="8" max="8" width="38" style="33" bestFit="1" customWidth="1"/>
    <col min="9" max="9" width="27.109375" style="32" customWidth="1"/>
    <col min="10" max="10" width="15.88671875" bestFit="1" customWidth="1"/>
    <col min="11" max="11" width="7.44140625" customWidth="1"/>
    <col min="13" max="13" width="32.77734375" bestFit="1" customWidth="1"/>
    <col min="14" max="14" width="21" bestFit="1" customWidth="1"/>
    <col min="17" max="17" width="12.109375" bestFit="1" customWidth="1"/>
    <col min="19" max="19" width="10.33203125" customWidth="1"/>
  </cols>
  <sheetData>
    <row r="1" spans="1:22">
      <c r="A1" s="60" t="s">
        <v>140</v>
      </c>
      <c r="B1" s="60"/>
      <c r="C1" s="60"/>
      <c r="D1" s="61"/>
      <c r="E1" s="61"/>
      <c r="F1" s="61"/>
      <c r="G1" s="61"/>
      <c r="H1" s="61"/>
      <c r="I1" s="61"/>
      <c r="J1" s="61"/>
      <c r="K1" s="61"/>
      <c r="L1" s="61"/>
      <c r="M1" s="61"/>
    </row>
    <row r="2" spans="1:22">
      <c r="A2" s="60"/>
      <c r="B2" s="73" t="s">
        <v>105</v>
      </c>
      <c r="C2" s="73"/>
      <c r="D2" s="73"/>
      <c r="E2" s="61"/>
      <c r="F2" s="61"/>
      <c r="G2" s="61"/>
      <c r="H2" s="61"/>
      <c r="I2" s="61"/>
      <c r="J2" s="61"/>
      <c r="K2" s="61"/>
      <c r="L2" s="61"/>
      <c r="M2" s="61"/>
    </row>
    <row r="3" spans="1:22" s="15" customFormat="1" ht="16.2" customHeight="1">
      <c r="A3" s="53" t="s">
        <v>104</v>
      </c>
      <c r="B3" s="53" t="s">
        <v>170</v>
      </c>
      <c r="C3" s="53" t="s">
        <v>131</v>
      </c>
      <c r="D3" s="53" t="s">
        <v>132</v>
      </c>
      <c r="E3" s="53" t="s">
        <v>137</v>
      </c>
      <c r="F3" s="53" t="s">
        <v>107</v>
      </c>
      <c r="G3" s="53" t="s">
        <v>2</v>
      </c>
      <c r="H3" s="54" t="s">
        <v>5</v>
      </c>
      <c r="I3" s="55" t="s">
        <v>47</v>
      </c>
      <c r="J3" s="53" t="s">
        <v>108</v>
      </c>
      <c r="K3" s="53" t="s">
        <v>70</v>
      </c>
      <c r="L3" s="53" t="s">
        <v>86</v>
      </c>
      <c r="M3" s="53" t="s">
        <v>97</v>
      </c>
      <c r="N3" s="15" t="s">
        <v>155</v>
      </c>
      <c r="P3" s="15" t="s">
        <v>104</v>
      </c>
      <c r="Q3" s="15" t="s">
        <v>169</v>
      </c>
      <c r="R3" s="15" t="s">
        <v>137</v>
      </c>
      <c r="S3" s="15" t="s">
        <v>168</v>
      </c>
      <c r="T3" s="15" t="s">
        <v>101</v>
      </c>
      <c r="U3" s="15" t="s">
        <v>70</v>
      </c>
      <c r="V3" s="15" t="s">
        <v>97</v>
      </c>
    </row>
    <row r="4" spans="1:22" ht="43.2">
      <c r="A4" s="33"/>
      <c r="B4" s="14" t="s">
        <v>133</v>
      </c>
      <c r="C4" s="58" t="s">
        <v>135</v>
      </c>
      <c r="D4" s="58" t="s">
        <v>136</v>
      </c>
      <c r="E4" s="39" t="s">
        <v>55</v>
      </c>
      <c r="F4" s="33"/>
      <c r="G4" s="62"/>
      <c r="I4" s="39"/>
      <c r="Q4">
        <v>1</v>
      </c>
    </row>
    <row r="5" spans="1:22">
      <c r="A5" s="33"/>
      <c r="B5" s="14"/>
      <c r="C5" s="58"/>
      <c r="D5" s="58"/>
      <c r="E5" s="39" t="s">
        <v>85</v>
      </c>
      <c r="F5" s="33"/>
      <c r="G5" s="62"/>
      <c r="I5" s="39"/>
    </row>
    <row r="6" spans="1:22" ht="42" customHeight="1">
      <c r="A6" s="33"/>
      <c r="B6" s="14"/>
      <c r="C6" s="58"/>
      <c r="D6" s="58"/>
      <c r="E6" s="39" t="s">
        <v>87</v>
      </c>
      <c r="F6" s="33"/>
      <c r="G6" s="62"/>
      <c r="I6" s="39"/>
    </row>
    <row r="7" spans="1:22" ht="115.2">
      <c r="A7" s="33">
        <v>1</v>
      </c>
      <c r="B7" s="14" t="s">
        <v>133</v>
      </c>
      <c r="C7" s="58" t="s">
        <v>138</v>
      </c>
      <c r="D7" s="1" t="s">
        <v>134</v>
      </c>
      <c r="E7" s="39" t="s">
        <v>55</v>
      </c>
      <c r="F7" s="33">
        <v>8</v>
      </c>
      <c r="G7" s="62">
        <v>46254</v>
      </c>
      <c r="H7" s="33" t="s">
        <v>109</v>
      </c>
      <c r="I7" s="39"/>
    </row>
    <row r="8" spans="1:22">
      <c r="A8" s="33"/>
      <c r="B8" s="14"/>
      <c r="C8" s="14"/>
      <c r="D8" s="1"/>
      <c r="E8" s="39" t="s">
        <v>85</v>
      </c>
      <c r="F8" s="33"/>
      <c r="G8" s="62"/>
      <c r="I8" s="39"/>
    </row>
    <row r="9" spans="1:22" ht="28.8">
      <c r="A9" s="33"/>
      <c r="B9" s="14"/>
      <c r="C9" s="14"/>
      <c r="D9" s="1"/>
      <c r="E9" s="39" t="s">
        <v>87</v>
      </c>
      <c r="F9" s="33"/>
      <c r="G9" s="62"/>
      <c r="I9" s="39"/>
    </row>
    <row r="10" spans="1:22">
      <c r="A10" s="33"/>
      <c r="B10" s="14"/>
      <c r="C10" s="14"/>
      <c r="D10" s="1"/>
      <c r="E10" s="31" t="s">
        <v>139</v>
      </c>
      <c r="F10" s="33"/>
      <c r="G10" s="62"/>
      <c r="H10" s="33" t="s">
        <v>56</v>
      </c>
      <c r="I10" s="39" t="s">
        <v>84</v>
      </c>
    </row>
    <row r="11" spans="1:22">
      <c r="A11" s="33"/>
      <c r="B11" s="14"/>
      <c r="C11" s="14"/>
      <c r="D11" s="1"/>
      <c r="E11" s="1"/>
      <c r="F11" s="33"/>
      <c r="G11" s="62"/>
      <c r="I11" s="39" t="s">
        <v>57</v>
      </c>
    </row>
    <row r="12" spans="1:22" ht="28.8">
      <c r="A12" s="33"/>
      <c r="B12" s="14"/>
      <c r="C12" s="14"/>
      <c r="D12" s="1"/>
      <c r="E12" s="1"/>
      <c r="F12" s="33"/>
      <c r="G12" s="62"/>
      <c r="H12" s="14" t="s">
        <v>118</v>
      </c>
      <c r="I12" s="43" t="s">
        <v>119</v>
      </c>
      <c r="M12" t="s">
        <v>120</v>
      </c>
    </row>
    <row r="13" spans="1:22">
      <c r="A13" s="14"/>
      <c r="B13" s="14"/>
      <c r="C13" s="14"/>
      <c r="D13" s="31"/>
      <c r="F13" s="14"/>
      <c r="G13" s="22"/>
      <c r="H13" s="14" t="s">
        <v>129</v>
      </c>
      <c r="I13" s="57" t="s">
        <v>130</v>
      </c>
    </row>
    <row r="14" spans="1:22">
      <c r="A14" s="14"/>
      <c r="B14" s="14"/>
      <c r="C14" s="14"/>
      <c r="D14" s="31"/>
      <c r="E14" s="31"/>
      <c r="F14" s="14"/>
      <c r="G14" s="22"/>
      <c r="H14" s="14"/>
      <c r="I14" s="57"/>
    </row>
    <row r="15" spans="1:22">
      <c r="A15" s="34"/>
      <c r="B15" s="34"/>
      <c r="C15" s="34"/>
      <c r="D15" s="35" t="s">
        <v>116</v>
      </c>
      <c r="E15" s="35"/>
      <c r="F15" s="36"/>
      <c r="G15" s="38">
        <v>46261</v>
      </c>
      <c r="H15" s="36"/>
      <c r="I15" s="46"/>
      <c r="J15" s="37"/>
      <c r="K15" s="37"/>
      <c r="L15" s="37"/>
      <c r="M15" s="37"/>
    </row>
    <row r="16" spans="1:22" ht="57.6" customHeight="1">
      <c r="A16" s="33">
        <v>2</v>
      </c>
      <c r="B16" s="14"/>
      <c r="C16" s="14"/>
      <c r="D16" s="59" t="s">
        <v>124</v>
      </c>
      <c r="E16" s="59"/>
      <c r="F16" s="33">
        <v>8</v>
      </c>
      <c r="G16" s="62">
        <v>46261</v>
      </c>
      <c r="H16" s="33" t="s">
        <v>48</v>
      </c>
      <c r="I16" s="45" t="s">
        <v>49</v>
      </c>
    </row>
    <row r="17" spans="1:13" ht="43.2">
      <c r="A17" s="33"/>
      <c r="B17" s="14"/>
      <c r="C17" s="14"/>
      <c r="D17" s="59"/>
      <c r="E17" s="59"/>
      <c r="F17" s="33"/>
      <c r="G17" s="62"/>
      <c r="I17" s="39" t="s">
        <v>50</v>
      </c>
    </row>
    <row r="18" spans="1:13">
      <c r="A18" s="33"/>
      <c r="B18" s="14"/>
      <c r="C18" s="14"/>
      <c r="D18" s="59"/>
      <c r="E18" s="59"/>
      <c r="F18" s="33"/>
      <c r="G18" s="62"/>
      <c r="I18" s="39" t="s">
        <v>51</v>
      </c>
    </row>
    <row r="19" spans="1:13" ht="28.8">
      <c r="A19" s="33"/>
      <c r="B19" s="14"/>
      <c r="C19" s="14"/>
      <c r="D19" s="59"/>
      <c r="E19" s="59"/>
      <c r="F19" s="33"/>
      <c r="G19" s="62"/>
      <c r="I19" s="39" t="s">
        <v>52</v>
      </c>
    </row>
    <row r="20" spans="1:13" ht="57.6">
      <c r="A20" s="33"/>
      <c r="B20" s="14"/>
      <c r="C20" s="14"/>
      <c r="D20" s="59"/>
      <c r="E20" s="59"/>
      <c r="F20" s="33"/>
      <c r="G20" s="62"/>
      <c r="I20" s="39" t="s">
        <v>53</v>
      </c>
    </row>
    <row r="21" spans="1:13">
      <c r="A21" s="33"/>
      <c r="B21" s="14"/>
      <c r="C21" s="14"/>
      <c r="D21" s="59"/>
      <c r="E21" s="59"/>
      <c r="F21" s="33"/>
      <c r="G21" s="62"/>
      <c r="H21" s="33" t="s">
        <v>110</v>
      </c>
      <c r="I21" s="39" t="s">
        <v>84</v>
      </c>
    </row>
    <row r="22" spans="1:13">
      <c r="A22" s="33"/>
      <c r="B22" s="14"/>
      <c r="C22" s="14"/>
      <c r="D22" s="59"/>
      <c r="E22" s="59"/>
      <c r="F22" s="33"/>
      <c r="G22" s="62"/>
      <c r="I22" s="43" t="s">
        <v>57</v>
      </c>
    </row>
    <row r="23" spans="1:13" ht="57.6">
      <c r="A23" s="33"/>
      <c r="B23" s="14"/>
      <c r="C23" s="14"/>
      <c r="D23" s="59"/>
      <c r="E23" s="59"/>
      <c r="F23" s="33"/>
      <c r="G23" s="62"/>
      <c r="H23" s="14" t="s">
        <v>125</v>
      </c>
      <c r="I23" s="39" t="s">
        <v>126</v>
      </c>
    </row>
    <row r="24" spans="1:13" s="15" customFormat="1">
      <c r="A24" s="47"/>
      <c r="B24" s="47"/>
      <c r="C24" s="47"/>
      <c r="D24" s="48" t="s">
        <v>117</v>
      </c>
      <c r="E24" s="48"/>
      <c r="F24" s="47"/>
      <c r="G24" s="49">
        <v>46268</v>
      </c>
      <c r="H24" s="47" t="s">
        <v>128</v>
      </c>
      <c r="I24" s="50"/>
      <c r="J24" s="51"/>
      <c r="K24" s="51"/>
      <c r="L24" s="51"/>
      <c r="M24" s="51"/>
    </row>
    <row r="25" spans="1:13" ht="86.4">
      <c r="A25" s="33">
        <v>3</v>
      </c>
      <c r="B25" s="14"/>
      <c r="C25" s="14"/>
      <c r="D25" s="59" t="s">
        <v>112</v>
      </c>
      <c r="E25" s="59"/>
      <c r="F25" s="33">
        <v>5</v>
      </c>
      <c r="G25" s="62">
        <v>46268</v>
      </c>
      <c r="H25" s="33" t="s">
        <v>111</v>
      </c>
      <c r="I25" s="45" t="s">
        <v>60</v>
      </c>
    </row>
    <row r="26" spans="1:13" ht="43.2">
      <c r="A26" s="33"/>
      <c r="B26" s="14"/>
      <c r="C26" s="14"/>
      <c r="D26" s="59"/>
      <c r="E26" s="59"/>
      <c r="F26" s="33"/>
      <c r="G26" s="62"/>
      <c r="I26" s="39" t="s">
        <v>61</v>
      </c>
    </row>
    <row r="27" spans="1:13" ht="129.6">
      <c r="A27" s="33"/>
      <c r="B27" s="14"/>
      <c r="C27" s="14"/>
      <c r="D27" s="59"/>
      <c r="E27" s="59"/>
      <c r="F27" s="33"/>
      <c r="G27" s="62"/>
      <c r="H27" s="33" t="s">
        <v>37</v>
      </c>
      <c r="I27" s="39" t="s">
        <v>103</v>
      </c>
    </row>
    <row r="28" spans="1:13">
      <c r="A28" s="33"/>
      <c r="B28" s="14"/>
      <c r="C28" s="14"/>
      <c r="D28" s="59"/>
      <c r="E28" s="59"/>
      <c r="F28" s="33"/>
      <c r="G28" s="62"/>
      <c r="I28" s="39" t="s">
        <v>62</v>
      </c>
    </row>
    <row r="29" spans="1:13">
      <c r="A29" s="33"/>
      <c r="B29" s="14"/>
      <c r="C29" s="14"/>
      <c r="D29" s="59"/>
      <c r="E29" s="59"/>
      <c r="F29" s="33"/>
      <c r="G29" s="62"/>
      <c r="I29" s="40" t="s">
        <v>81</v>
      </c>
    </row>
    <row r="30" spans="1:13" ht="28.8">
      <c r="A30" s="33"/>
      <c r="B30" s="14"/>
      <c r="C30" s="14"/>
      <c r="D30" s="59"/>
      <c r="E30" s="59"/>
      <c r="F30" s="33"/>
      <c r="G30" s="62"/>
      <c r="I30" s="43" t="s">
        <v>63</v>
      </c>
    </row>
    <row r="31" spans="1:13">
      <c r="A31" s="34"/>
      <c r="B31" s="34"/>
      <c r="C31" s="34"/>
      <c r="D31" s="35" t="s">
        <v>116</v>
      </c>
      <c r="E31" s="35"/>
      <c r="F31" s="36"/>
      <c r="G31" s="38">
        <v>46275</v>
      </c>
      <c r="H31" s="36"/>
      <c r="I31" s="46"/>
      <c r="J31" s="37"/>
      <c r="K31" s="37"/>
      <c r="L31" s="37"/>
      <c r="M31" s="37"/>
    </row>
    <row r="32" spans="1:13" ht="43.2" customHeight="1">
      <c r="A32" s="33">
        <v>4</v>
      </c>
      <c r="B32" s="14"/>
      <c r="C32" s="14"/>
      <c r="D32" s="59" t="s">
        <v>113</v>
      </c>
      <c r="E32" s="59"/>
      <c r="F32" s="33">
        <v>8</v>
      </c>
      <c r="G32" s="62">
        <v>46275</v>
      </c>
      <c r="H32" s="33" t="s">
        <v>114</v>
      </c>
      <c r="I32" s="44" t="s">
        <v>65</v>
      </c>
    </row>
    <row r="33" spans="1:13">
      <c r="A33" s="33"/>
      <c r="B33" s="14"/>
      <c r="C33" s="14"/>
      <c r="D33" s="59"/>
      <c r="E33" s="59"/>
      <c r="F33" s="33"/>
      <c r="G33" s="62"/>
      <c r="I33" s="41" t="s">
        <v>66</v>
      </c>
    </row>
    <row r="34" spans="1:13" ht="43.2">
      <c r="A34" s="33"/>
      <c r="B34" s="14"/>
      <c r="C34" s="14"/>
      <c r="D34" s="59"/>
      <c r="E34" s="59"/>
      <c r="F34" s="33"/>
      <c r="G34" s="62"/>
      <c r="H34" s="33" t="s">
        <v>115</v>
      </c>
      <c r="I34" s="41" t="s">
        <v>72</v>
      </c>
    </row>
    <row r="35" spans="1:13" ht="28.8">
      <c r="A35" s="33"/>
      <c r="B35" s="14"/>
      <c r="C35" s="14"/>
      <c r="D35" s="59"/>
      <c r="E35" s="59"/>
      <c r="F35" s="33"/>
      <c r="G35" s="62"/>
      <c r="I35" s="41" t="s">
        <v>73</v>
      </c>
    </row>
    <row r="36" spans="1:13" ht="43.2">
      <c r="A36" s="33"/>
      <c r="B36" s="14"/>
      <c r="C36" s="14"/>
      <c r="D36" s="59"/>
      <c r="E36" s="59"/>
      <c r="F36" s="33"/>
      <c r="G36" s="62"/>
      <c r="H36" s="33" t="s">
        <v>29</v>
      </c>
      <c r="I36" s="41" t="s">
        <v>74</v>
      </c>
    </row>
    <row r="37" spans="1:13" ht="28.8">
      <c r="A37" s="33"/>
      <c r="B37" s="14"/>
      <c r="C37" s="14"/>
      <c r="D37" s="59"/>
      <c r="E37" s="59"/>
      <c r="F37" s="33"/>
      <c r="G37" s="62"/>
      <c r="I37" s="41" t="s">
        <v>75</v>
      </c>
    </row>
    <row r="38" spans="1:13">
      <c r="A38" s="33"/>
      <c r="B38" s="14"/>
      <c r="C38" s="14"/>
      <c r="D38" s="59"/>
      <c r="E38" s="59"/>
      <c r="F38" s="33"/>
      <c r="G38" s="62"/>
      <c r="I38" s="41" t="s">
        <v>76</v>
      </c>
    </row>
    <row r="39" spans="1:13">
      <c r="A39" s="33"/>
      <c r="B39" s="14"/>
      <c r="C39" s="14"/>
      <c r="D39" s="59"/>
      <c r="E39" s="59"/>
      <c r="F39" s="33"/>
      <c r="G39" s="62"/>
      <c r="I39" s="41" t="s">
        <v>77</v>
      </c>
    </row>
    <row r="40" spans="1:13">
      <c r="A40" s="33"/>
      <c r="B40" s="14"/>
      <c r="C40" s="14"/>
      <c r="D40" s="59"/>
      <c r="E40" s="59"/>
      <c r="F40" s="33"/>
      <c r="G40" s="62"/>
      <c r="H40" s="33" t="s">
        <v>121</v>
      </c>
      <c r="I40" s="41" t="s">
        <v>122</v>
      </c>
    </row>
    <row r="41" spans="1:13" ht="28.8">
      <c r="A41" s="33"/>
      <c r="B41" s="14"/>
      <c r="C41" s="14"/>
      <c r="D41" s="59"/>
      <c r="E41" s="59"/>
      <c r="F41" s="33"/>
      <c r="G41" s="62"/>
      <c r="I41" s="42" t="s">
        <v>123</v>
      </c>
    </row>
    <row r="42" spans="1:13" s="15" customFormat="1">
      <c r="A42" s="47"/>
      <c r="B42" s="47"/>
      <c r="C42" s="47"/>
      <c r="D42" s="48" t="s">
        <v>117</v>
      </c>
      <c r="E42" s="48"/>
      <c r="F42" s="47"/>
      <c r="G42" s="49">
        <v>46282</v>
      </c>
      <c r="H42" s="47" t="s">
        <v>127</v>
      </c>
      <c r="I42" s="52"/>
      <c r="J42" s="51"/>
      <c r="K42" s="51"/>
      <c r="L42" s="51"/>
      <c r="M42" s="51"/>
    </row>
  </sheetData>
  <mergeCells count="1">
    <mergeCell ref="B2:D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2D4C0-1656-4F6E-9BC2-A7E4DB44885F}">
  <dimension ref="A1:I253"/>
  <sheetViews>
    <sheetView tabSelected="1" zoomScaleNormal="100" workbookViewId="0">
      <selection activeCell="E3" sqref="E3:E4"/>
    </sheetView>
  </sheetViews>
  <sheetFormatPr defaultRowHeight="14.4"/>
  <cols>
    <col min="2" max="2" width="11.88671875" bestFit="1" customWidth="1"/>
    <col min="3" max="3" width="13" customWidth="1"/>
    <col min="4" max="4" width="61.88671875" style="13" bestFit="1" customWidth="1"/>
    <col min="5" max="5" width="11.109375" bestFit="1" customWidth="1"/>
  </cols>
  <sheetData>
    <row r="1" spans="1:9">
      <c r="A1" s="92" t="s">
        <v>424</v>
      </c>
      <c r="B1" s="93"/>
      <c r="C1" s="93"/>
      <c r="D1" s="93"/>
      <c r="E1" s="93"/>
      <c r="F1" s="93"/>
      <c r="G1" s="93"/>
      <c r="H1" s="93"/>
      <c r="I1" s="93"/>
    </row>
    <row r="2" spans="1:9" s="15" customFormat="1">
      <c r="A2" s="60" t="s">
        <v>104</v>
      </c>
      <c r="B2" s="60" t="s">
        <v>171</v>
      </c>
      <c r="C2" s="60" t="s">
        <v>175</v>
      </c>
      <c r="D2" s="94" t="s">
        <v>137</v>
      </c>
      <c r="E2" s="60" t="s">
        <v>172</v>
      </c>
      <c r="F2" s="60" t="s">
        <v>101</v>
      </c>
      <c r="G2" s="60" t="s">
        <v>173</v>
      </c>
      <c r="H2" s="60" t="s">
        <v>97</v>
      </c>
      <c r="I2" s="60" t="s">
        <v>86</v>
      </c>
    </row>
    <row r="3" spans="1:9">
      <c r="B3" s="83">
        <v>1</v>
      </c>
      <c r="C3" s="84">
        <v>1.1000000000000001</v>
      </c>
      <c r="D3" s="13" t="s">
        <v>174</v>
      </c>
    </row>
    <row r="4" spans="1:9">
      <c r="B4" s="83"/>
      <c r="C4" s="84"/>
      <c r="D4" s="13" t="s">
        <v>176</v>
      </c>
    </row>
    <row r="5" spans="1:9">
      <c r="B5" s="83"/>
      <c r="C5" s="84"/>
      <c r="D5" s="13" t="s">
        <v>177</v>
      </c>
    </row>
    <row r="6" spans="1:9">
      <c r="B6" s="83"/>
      <c r="C6" s="84"/>
      <c r="D6" s="13" t="s">
        <v>178</v>
      </c>
    </row>
    <row r="7" spans="1:9">
      <c r="B7" s="83"/>
      <c r="C7" s="84"/>
      <c r="D7" s="13" t="s">
        <v>179</v>
      </c>
    </row>
    <row r="8" spans="1:9">
      <c r="B8" s="83"/>
      <c r="C8" s="84"/>
      <c r="D8" s="13" t="s">
        <v>180</v>
      </c>
    </row>
    <row r="9" spans="1:9">
      <c r="B9" s="83"/>
      <c r="C9" s="84"/>
      <c r="D9" s="13" t="s">
        <v>181</v>
      </c>
    </row>
    <row r="10" spans="1:9">
      <c r="B10" s="83"/>
      <c r="C10" s="84"/>
      <c r="D10" s="13" t="s">
        <v>182</v>
      </c>
    </row>
    <row r="11" spans="1:9">
      <c r="B11" s="83"/>
      <c r="C11" s="84"/>
      <c r="D11" s="13" t="s">
        <v>183</v>
      </c>
    </row>
    <row r="12" spans="1:9" ht="28.8" customHeight="1">
      <c r="B12" s="83"/>
      <c r="C12" s="84"/>
      <c r="D12" s="13" t="s">
        <v>184</v>
      </c>
    </row>
    <row r="13" spans="1:9" ht="14.4" customHeight="1">
      <c r="B13" s="83"/>
      <c r="C13" s="87" t="s">
        <v>373</v>
      </c>
      <c r="D13" s="13" t="s">
        <v>185</v>
      </c>
    </row>
    <row r="14" spans="1:9">
      <c r="B14" s="83"/>
      <c r="C14" s="87"/>
      <c r="D14" s="13" t="s">
        <v>186</v>
      </c>
    </row>
    <row r="15" spans="1:9">
      <c r="B15" s="83"/>
      <c r="C15" s="87"/>
      <c r="D15" s="13" t="s">
        <v>187</v>
      </c>
    </row>
    <row r="16" spans="1:9">
      <c r="B16" s="83"/>
      <c r="C16" s="87"/>
      <c r="D16" s="13" t="s">
        <v>188</v>
      </c>
    </row>
    <row r="17" spans="2:4">
      <c r="B17" s="83"/>
      <c r="C17" s="87"/>
      <c r="D17" s="13" t="s">
        <v>189</v>
      </c>
    </row>
    <row r="18" spans="2:4">
      <c r="B18" s="83"/>
      <c r="C18" s="84">
        <v>1.3</v>
      </c>
      <c r="D18" s="89" t="s">
        <v>190</v>
      </c>
    </row>
    <row r="19" spans="2:4">
      <c r="B19" s="83"/>
      <c r="C19" s="84"/>
      <c r="D19" s="89" t="s">
        <v>191</v>
      </c>
    </row>
    <row r="20" spans="2:4" ht="28.8" customHeight="1">
      <c r="B20" s="83"/>
      <c r="C20" s="84"/>
      <c r="D20" s="13" t="s">
        <v>192</v>
      </c>
    </row>
    <row r="21" spans="2:4" ht="28.8" customHeight="1">
      <c r="B21" s="83"/>
      <c r="C21" s="84"/>
      <c r="D21" s="13" t="s">
        <v>193</v>
      </c>
    </row>
    <row r="22" spans="2:4" ht="28.8" customHeight="1">
      <c r="B22" s="83"/>
      <c r="C22" s="84"/>
      <c r="D22" s="13" t="s">
        <v>194</v>
      </c>
    </row>
    <row r="23" spans="2:4">
      <c r="B23" s="83"/>
      <c r="C23" s="83">
        <v>1.4</v>
      </c>
      <c r="D23" s="13" t="s">
        <v>195</v>
      </c>
    </row>
    <row r="24" spans="2:4">
      <c r="B24" s="83"/>
      <c r="C24" s="83"/>
      <c r="D24" s="13" t="s">
        <v>196</v>
      </c>
    </row>
    <row r="25" spans="2:4">
      <c r="B25" s="83"/>
      <c r="C25" s="83"/>
      <c r="D25" s="13" t="s">
        <v>197</v>
      </c>
    </row>
    <row r="26" spans="2:4">
      <c r="B26" s="83"/>
      <c r="C26" s="83"/>
      <c r="D26" s="13" t="s">
        <v>198</v>
      </c>
    </row>
    <row r="27" spans="2:4" ht="28.8" customHeight="1">
      <c r="B27" s="83"/>
      <c r="C27" s="83"/>
      <c r="D27" s="13" t="s">
        <v>199</v>
      </c>
    </row>
    <row r="28" spans="2:4">
      <c r="B28" s="83">
        <v>2</v>
      </c>
      <c r="C28" s="86">
        <v>2.1</v>
      </c>
      <c r="D28" s="13" t="s">
        <v>200</v>
      </c>
    </row>
    <row r="29" spans="2:4">
      <c r="B29" s="83"/>
      <c r="C29" s="83">
        <v>2.2000000000000002</v>
      </c>
      <c r="D29" s="13" t="s">
        <v>202</v>
      </c>
    </row>
    <row r="30" spans="2:4">
      <c r="B30" s="83"/>
      <c r="C30" s="83"/>
      <c r="D30" s="13" t="s">
        <v>201</v>
      </c>
    </row>
    <row r="31" spans="2:4">
      <c r="B31" s="83"/>
      <c r="C31" s="83"/>
      <c r="D31" s="13" t="s">
        <v>203</v>
      </c>
    </row>
    <row r="32" spans="2:4" ht="28.8" customHeight="1">
      <c r="B32" s="83"/>
      <c r="C32" s="83"/>
      <c r="D32" s="13" t="s">
        <v>204</v>
      </c>
    </row>
    <row r="33" spans="2:4">
      <c r="B33" s="83"/>
      <c r="C33" s="83"/>
      <c r="D33" s="13" t="s">
        <v>205</v>
      </c>
    </row>
    <row r="34" spans="2:4">
      <c r="B34" s="83"/>
      <c r="C34" s="83"/>
      <c r="D34" s="13" t="s">
        <v>206</v>
      </c>
    </row>
    <row r="35" spans="2:4">
      <c r="B35" s="83"/>
      <c r="C35" s="83"/>
      <c r="D35" s="13" t="s">
        <v>207</v>
      </c>
    </row>
    <row r="36" spans="2:4">
      <c r="B36" s="83"/>
      <c r="C36" s="83">
        <v>2.2999999999999998</v>
      </c>
      <c r="D36" s="13" t="s">
        <v>208</v>
      </c>
    </row>
    <row r="37" spans="2:4">
      <c r="B37" s="83"/>
      <c r="C37" s="83"/>
      <c r="D37" s="13" t="s">
        <v>209</v>
      </c>
    </row>
    <row r="38" spans="2:4" ht="28.8" customHeight="1">
      <c r="B38" s="83"/>
      <c r="C38" s="83"/>
      <c r="D38" s="13" t="s">
        <v>210</v>
      </c>
    </row>
    <row r="39" spans="2:4" ht="28.8" customHeight="1">
      <c r="B39" s="83"/>
      <c r="C39" s="83"/>
      <c r="D39" s="13" t="s">
        <v>413</v>
      </c>
    </row>
    <row r="40" spans="2:4">
      <c r="B40" s="83"/>
      <c r="C40" s="83"/>
      <c r="D40" s="13" t="s">
        <v>211</v>
      </c>
    </row>
    <row r="41" spans="2:4">
      <c r="B41" s="83"/>
      <c r="C41" s="83"/>
      <c r="D41" s="13" t="s">
        <v>212</v>
      </c>
    </row>
    <row r="42" spans="2:4" ht="28.8" customHeight="1">
      <c r="B42" s="83"/>
      <c r="C42" s="83"/>
      <c r="D42" s="13" t="s">
        <v>213</v>
      </c>
    </row>
    <row r="43" spans="2:4" ht="28.8" customHeight="1">
      <c r="B43" s="83"/>
      <c r="C43" s="83">
        <v>2.4</v>
      </c>
      <c r="D43" s="13" t="s">
        <v>214</v>
      </c>
    </row>
    <row r="44" spans="2:4" ht="28.8" customHeight="1">
      <c r="B44" s="83"/>
      <c r="C44" s="83"/>
      <c r="D44" s="13" t="s">
        <v>215</v>
      </c>
    </row>
    <row r="45" spans="2:4">
      <c r="B45" s="83"/>
      <c r="C45" s="83"/>
      <c r="D45" s="13" t="s">
        <v>216</v>
      </c>
    </row>
    <row r="46" spans="2:4">
      <c r="B46" s="83"/>
      <c r="C46" s="83"/>
      <c r="D46" s="13" t="s">
        <v>217</v>
      </c>
    </row>
    <row r="47" spans="2:4">
      <c r="B47" s="83"/>
      <c r="C47" s="83"/>
      <c r="D47" s="13" t="s">
        <v>218</v>
      </c>
    </row>
    <row r="48" spans="2:4">
      <c r="B48" s="83"/>
      <c r="C48" s="83">
        <v>2.5</v>
      </c>
      <c r="D48" s="13" t="s">
        <v>219</v>
      </c>
    </row>
    <row r="49" spans="2:4">
      <c r="B49" s="83"/>
      <c r="C49" s="83"/>
      <c r="D49" s="13" t="s">
        <v>220</v>
      </c>
    </row>
    <row r="50" spans="2:4">
      <c r="B50" s="83"/>
      <c r="C50" s="83"/>
      <c r="D50" s="13" t="s">
        <v>221</v>
      </c>
    </row>
    <row r="51" spans="2:4">
      <c r="B51" s="83"/>
      <c r="C51" s="83"/>
      <c r="D51" s="13" t="s">
        <v>222</v>
      </c>
    </row>
    <row r="52" spans="2:4" ht="28.8" customHeight="1">
      <c r="B52" s="83"/>
      <c r="C52" s="83"/>
      <c r="D52" s="13" t="s">
        <v>223</v>
      </c>
    </row>
    <row r="53" spans="2:4" ht="28.8" customHeight="1">
      <c r="B53" s="83"/>
      <c r="C53" s="83"/>
      <c r="D53" s="13" t="s">
        <v>224</v>
      </c>
    </row>
    <row r="54" spans="2:4">
      <c r="B54" s="83"/>
      <c r="C54" s="83">
        <v>2.6</v>
      </c>
      <c r="D54" s="13" t="s">
        <v>225</v>
      </c>
    </row>
    <row r="55" spans="2:4" ht="28.8" customHeight="1">
      <c r="B55" s="83"/>
      <c r="C55" s="83"/>
      <c r="D55" s="85" t="s">
        <v>226</v>
      </c>
    </row>
    <row r="56" spans="2:4" ht="28.8" customHeight="1">
      <c r="B56" s="83"/>
      <c r="C56" s="83"/>
      <c r="D56" s="13" t="s">
        <v>227</v>
      </c>
    </row>
    <row r="57" spans="2:4">
      <c r="B57" s="83"/>
      <c r="C57" s="83"/>
      <c r="D57" s="13" t="s">
        <v>228</v>
      </c>
    </row>
    <row r="58" spans="2:4">
      <c r="B58" s="83">
        <v>3</v>
      </c>
      <c r="C58" s="83">
        <v>3.1</v>
      </c>
      <c r="D58" s="13" t="s">
        <v>229</v>
      </c>
    </row>
    <row r="59" spans="2:4">
      <c r="B59" s="83"/>
      <c r="C59" s="83"/>
      <c r="D59" s="13" t="s">
        <v>230</v>
      </c>
    </row>
    <row r="60" spans="2:4">
      <c r="B60" s="83"/>
      <c r="C60" s="83"/>
      <c r="D60" s="13" t="s">
        <v>231</v>
      </c>
    </row>
    <row r="61" spans="2:4">
      <c r="B61" s="83"/>
      <c r="C61" s="83"/>
      <c r="D61" s="13" t="s">
        <v>232</v>
      </c>
    </row>
    <row r="62" spans="2:4">
      <c r="B62" s="83"/>
      <c r="C62" s="83"/>
      <c r="D62" s="13" t="s">
        <v>233</v>
      </c>
    </row>
    <row r="63" spans="2:4">
      <c r="B63" s="83"/>
      <c r="C63" s="83"/>
      <c r="D63" s="13" t="s">
        <v>234</v>
      </c>
    </row>
    <row r="64" spans="2:4">
      <c r="B64" s="83"/>
      <c r="C64" s="83"/>
      <c r="D64" s="13" t="s">
        <v>235</v>
      </c>
    </row>
    <row r="65" spans="2:4">
      <c r="B65" s="83"/>
      <c r="C65" s="83">
        <v>3.2</v>
      </c>
      <c r="D65" s="13" t="s">
        <v>236</v>
      </c>
    </row>
    <row r="66" spans="2:4" ht="28.8" customHeight="1">
      <c r="B66" s="83"/>
      <c r="C66" s="83"/>
      <c r="D66" s="13" t="s">
        <v>237</v>
      </c>
    </row>
    <row r="67" spans="2:4">
      <c r="B67" s="83"/>
      <c r="C67" s="83"/>
      <c r="D67" s="13" t="s">
        <v>238</v>
      </c>
    </row>
    <row r="68" spans="2:4">
      <c r="B68" s="83"/>
      <c r="C68" s="83"/>
      <c r="D68" s="13" t="s">
        <v>239</v>
      </c>
    </row>
    <row r="69" spans="2:4">
      <c r="B69" s="83"/>
      <c r="C69" s="83"/>
      <c r="D69" s="13" t="s">
        <v>240</v>
      </c>
    </row>
    <row r="70" spans="2:4">
      <c r="B70" s="83"/>
      <c r="C70" s="83"/>
      <c r="D70" s="13" t="s">
        <v>241</v>
      </c>
    </row>
    <row r="71" spans="2:4">
      <c r="B71" s="83"/>
      <c r="C71" s="83"/>
      <c r="D71" s="13" t="s">
        <v>242</v>
      </c>
    </row>
    <row r="72" spans="2:4">
      <c r="B72" s="83"/>
      <c r="C72" s="83">
        <v>3.3</v>
      </c>
      <c r="D72" s="13" t="s">
        <v>243</v>
      </c>
    </row>
    <row r="73" spans="2:4">
      <c r="B73" s="83"/>
      <c r="C73" s="83"/>
      <c r="D73" s="13" t="s">
        <v>244</v>
      </c>
    </row>
    <row r="74" spans="2:4">
      <c r="B74" s="83"/>
      <c r="C74" s="83"/>
      <c r="D74" s="13" t="s">
        <v>414</v>
      </c>
    </row>
    <row r="75" spans="2:4">
      <c r="B75" s="83"/>
      <c r="C75" s="83"/>
      <c r="D75" s="13" t="s">
        <v>211</v>
      </c>
    </row>
    <row r="76" spans="2:4">
      <c r="B76" s="83"/>
      <c r="C76" s="83"/>
      <c r="D76" s="13" t="s">
        <v>245</v>
      </c>
    </row>
    <row r="77" spans="2:4" ht="28.8" customHeight="1">
      <c r="B77" s="83"/>
      <c r="C77" s="83"/>
      <c r="D77" s="13" t="s">
        <v>246</v>
      </c>
    </row>
    <row r="78" spans="2:4">
      <c r="B78" s="83"/>
      <c r="C78" s="83">
        <v>3.4</v>
      </c>
      <c r="D78" s="13" t="s">
        <v>409</v>
      </c>
    </row>
    <row r="79" spans="2:4" ht="28.8" customHeight="1">
      <c r="B79" s="83"/>
      <c r="C79" s="83"/>
      <c r="D79" s="13" t="s">
        <v>247</v>
      </c>
    </row>
    <row r="80" spans="2:4">
      <c r="B80" s="83"/>
      <c r="C80" s="83"/>
      <c r="D80" s="13" t="s">
        <v>410</v>
      </c>
    </row>
    <row r="81" spans="2:4">
      <c r="B81" s="83"/>
      <c r="C81" s="83"/>
      <c r="D81" s="13" t="s">
        <v>248</v>
      </c>
    </row>
    <row r="82" spans="2:4">
      <c r="B82" s="83"/>
      <c r="C82" s="83"/>
      <c r="D82" s="89" t="s">
        <v>249</v>
      </c>
    </row>
    <row r="83" spans="2:4" ht="28.8" customHeight="1">
      <c r="B83" s="83"/>
      <c r="C83" s="83"/>
      <c r="D83" s="89" t="s">
        <v>411</v>
      </c>
    </row>
    <row r="84" spans="2:4">
      <c r="B84" s="83"/>
      <c r="C84" s="83"/>
      <c r="D84" s="89" t="s">
        <v>412</v>
      </c>
    </row>
    <row r="85" spans="2:4">
      <c r="B85" s="83"/>
      <c r="C85" s="83"/>
      <c r="D85" s="89" t="s">
        <v>250</v>
      </c>
    </row>
    <row r="86" spans="2:4" ht="28.8" customHeight="1">
      <c r="B86" s="83"/>
      <c r="C86" s="83"/>
      <c r="D86" s="13" t="s">
        <v>251</v>
      </c>
    </row>
    <row r="87" spans="2:4" ht="28.8" customHeight="1">
      <c r="B87" s="83"/>
      <c r="C87" s="83"/>
      <c r="D87" t="s">
        <v>415</v>
      </c>
    </row>
    <row r="88" spans="2:4">
      <c r="B88" s="83"/>
      <c r="C88" s="83">
        <v>3.5</v>
      </c>
      <c r="D88" t="s">
        <v>252</v>
      </c>
    </row>
    <row r="89" spans="2:4">
      <c r="B89" s="83"/>
      <c r="C89" s="83"/>
      <c r="D89" t="s">
        <v>253</v>
      </c>
    </row>
    <row r="90" spans="2:4">
      <c r="B90" s="83"/>
      <c r="C90" s="83"/>
      <c r="D90" t="s">
        <v>254</v>
      </c>
    </row>
    <row r="91" spans="2:4">
      <c r="B91" s="83"/>
      <c r="C91" s="83"/>
      <c r="D91" t="s">
        <v>255</v>
      </c>
    </row>
    <row r="92" spans="2:4">
      <c r="B92" s="83"/>
      <c r="C92" s="83"/>
      <c r="D92" t="s">
        <v>256</v>
      </c>
    </row>
    <row r="93" spans="2:4">
      <c r="B93" s="83"/>
      <c r="C93" s="83"/>
      <c r="D93" t="s">
        <v>257</v>
      </c>
    </row>
    <row r="94" spans="2:4">
      <c r="B94" s="83"/>
      <c r="C94" s="83"/>
      <c r="D94" t="s">
        <v>258</v>
      </c>
    </row>
    <row r="95" spans="2:4">
      <c r="B95" s="83"/>
      <c r="C95" s="83">
        <v>3.6</v>
      </c>
      <c r="D95" s="82" t="s">
        <v>416</v>
      </c>
    </row>
    <row r="96" spans="2:4">
      <c r="B96" s="83"/>
      <c r="C96" s="83"/>
      <c r="D96" s="82" t="s">
        <v>259</v>
      </c>
    </row>
    <row r="97" spans="2:4">
      <c r="B97" s="83"/>
      <c r="C97" s="83"/>
      <c r="D97" s="82" t="s">
        <v>261</v>
      </c>
    </row>
    <row r="98" spans="2:4">
      <c r="B98" s="83"/>
      <c r="C98" s="83"/>
      <c r="D98" s="82" t="s">
        <v>260</v>
      </c>
    </row>
    <row r="99" spans="2:4">
      <c r="B99" s="83"/>
      <c r="C99" s="83"/>
      <c r="D99" s="82" t="s">
        <v>417</v>
      </c>
    </row>
    <row r="100" spans="2:4">
      <c r="B100" s="83"/>
      <c r="C100" s="83"/>
      <c r="D100" s="82" t="s">
        <v>418</v>
      </c>
    </row>
    <row r="101" spans="2:4">
      <c r="B101" s="83"/>
      <c r="C101" s="83"/>
      <c r="D101" s="82" t="s">
        <v>262</v>
      </c>
    </row>
    <row r="102" spans="2:4">
      <c r="B102" s="83"/>
      <c r="C102" s="83"/>
      <c r="D102" t="s">
        <v>263</v>
      </c>
    </row>
    <row r="103" spans="2:4">
      <c r="B103" s="83"/>
      <c r="C103" s="83"/>
      <c r="D103" t="s">
        <v>264</v>
      </c>
    </row>
    <row r="104" spans="2:4">
      <c r="B104" s="83"/>
      <c r="C104" s="83"/>
      <c r="D104" t="s">
        <v>265</v>
      </c>
    </row>
    <row r="105" spans="2:4">
      <c r="B105" s="83"/>
      <c r="C105" s="83"/>
      <c r="D105" t="s">
        <v>266</v>
      </c>
    </row>
    <row r="106" spans="2:4">
      <c r="B106" s="83"/>
      <c r="C106" s="83"/>
      <c r="D106" t="s">
        <v>267</v>
      </c>
    </row>
    <row r="107" spans="2:4">
      <c r="B107" s="83"/>
      <c r="C107" s="83"/>
      <c r="D107" t="s">
        <v>268</v>
      </c>
    </row>
    <row r="108" spans="2:4">
      <c r="B108" s="83"/>
      <c r="C108" s="83"/>
      <c r="D108" t="s">
        <v>269</v>
      </c>
    </row>
    <row r="109" spans="2:4">
      <c r="B109" s="83"/>
      <c r="C109" s="83"/>
      <c r="D109" t="s">
        <v>270</v>
      </c>
    </row>
    <row r="110" spans="2:4">
      <c r="B110" s="83"/>
      <c r="C110" s="83"/>
      <c r="D110" t="s">
        <v>271</v>
      </c>
    </row>
    <row r="111" spans="2:4">
      <c r="B111" s="83"/>
      <c r="C111" s="83"/>
      <c r="D111" t="s">
        <v>272</v>
      </c>
    </row>
    <row r="112" spans="2:4">
      <c r="B112" s="83"/>
      <c r="C112" s="83">
        <v>3.7</v>
      </c>
      <c r="D112" t="s">
        <v>273</v>
      </c>
    </row>
    <row r="113" spans="2:4">
      <c r="B113" s="83"/>
      <c r="C113" s="83"/>
      <c r="D113" t="s">
        <v>274</v>
      </c>
    </row>
    <row r="114" spans="2:4">
      <c r="B114" s="83"/>
      <c r="C114" s="83"/>
      <c r="D114" t="s">
        <v>275</v>
      </c>
    </row>
    <row r="115" spans="2:4">
      <c r="B115" s="83"/>
      <c r="C115" s="83"/>
      <c r="D115" t="s">
        <v>276</v>
      </c>
    </row>
    <row r="116" spans="2:4">
      <c r="B116" s="83"/>
      <c r="C116" s="83"/>
      <c r="D116" t="s">
        <v>277</v>
      </c>
    </row>
    <row r="117" spans="2:4">
      <c r="B117" s="83"/>
      <c r="C117" s="83"/>
      <c r="D117" t="s">
        <v>278</v>
      </c>
    </row>
    <row r="118" spans="2:4">
      <c r="B118" s="83"/>
      <c r="C118" s="83">
        <v>3.8</v>
      </c>
      <c r="D118" t="s">
        <v>308</v>
      </c>
    </row>
    <row r="119" spans="2:4">
      <c r="B119" s="83"/>
      <c r="C119" s="83"/>
      <c r="D119" t="s">
        <v>279</v>
      </c>
    </row>
    <row r="120" spans="2:4">
      <c r="B120" s="83"/>
      <c r="C120" s="83"/>
      <c r="D120" t="s">
        <v>280</v>
      </c>
    </row>
    <row r="121" spans="2:4">
      <c r="B121" s="83"/>
      <c r="C121" s="83"/>
      <c r="D121" t="s">
        <v>281</v>
      </c>
    </row>
    <row r="122" spans="2:4">
      <c r="B122" s="83"/>
      <c r="C122" s="83"/>
      <c r="D122" t="s">
        <v>282</v>
      </c>
    </row>
    <row r="123" spans="2:4">
      <c r="B123" s="83"/>
      <c r="C123" s="83"/>
      <c r="D123" t="s">
        <v>283</v>
      </c>
    </row>
    <row r="124" spans="2:4">
      <c r="B124" s="83"/>
      <c r="C124" s="83"/>
      <c r="D124" t="s">
        <v>284</v>
      </c>
    </row>
    <row r="125" spans="2:4">
      <c r="B125" s="83"/>
      <c r="C125" s="83"/>
      <c r="D125" t="s">
        <v>285</v>
      </c>
    </row>
    <row r="126" spans="2:4">
      <c r="B126" s="83"/>
      <c r="C126" s="83"/>
      <c r="D126" t="s">
        <v>309</v>
      </c>
    </row>
    <row r="127" spans="2:4">
      <c r="B127" s="83"/>
      <c r="C127" s="91">
        <v>3.9</v>
      </c>
      <c r="D127" t="s">
        <v>286</v>
      </c>
    </row>
    <row r="128" spans="2:4">
      <c r="B128" s="83"/>
      <c r="C128" s="91"/>
      <c r="D128" t="s">
        <v>287</v>
      </c>
    </row>
    <row r="129" spans="2:4">
      <c r="B129" s="83"/>
      <c r="C129" s="91"/>
      <c r="D129" t="s">
        <v>288</v>
      </c>
    </row>
    <row r="130" spans="2:4">
      <c r="B130" s="83"/>
      <c r="C130" s="91"/>
      <c r="D130" t="s">
        <v>289</v>
      </c>
    </row>
    <row r="131" spans="2:4">
      <c r="B131" s="83"/>
      <c r="C131" s="91"/>
      <c r="D131" t="s">
        <v>290</v>
      </c>
    </row>
    <row r="132" spans="2:4">
      <c r="B132" s="83"/>
      <c r="C132" s="91"/>
      <c r="D132" t="s">
        <v>291</v>
      </c>
    </row>
    <row r="133" spans="2:4">
      <c r="B133" s="83"/>
      <c r="C133" s="91"/>
      <c r="D133" t="s">
        <v>292</v>
      </c>
    </row>
    <row r="134" spans="2:4">
      <c r="B134" s="83"/>
      <c r="C134" s="91"/>
      <c r="D134" t="s">
        <v>293</v>
      </c>
    </row>
    <row r="135" spans="2:4">
      <c r="B135" s="83"/>
      <c r="C135" s="91"/>
      <c r="D135" t="s">
        <v>294</v>
      </c>
    </row>
    <row r="136" spans="2:4">
      <c r="B136" s="83"/>
      <c r="C136" s="91"/>
      <c r="D136" t="s">
        <v>419</v>
      </c>
    </row>
    <row r="137" spans="2:4">
      <c r="B137" s="83"/>
      <c r="C137" s="91"/>
      <c r="D137" t="s">
        <v>421</v>
      </c>
    </row>
    <row r="138" spans="2:4">
      <c r="B138" s="83"/>
      <c r="C138" s="88">
        <v>3.1</v>
      </c>
      <c r="D138" t="s">
        <v>295</v>
      </c>
    </row>
    <row r="139" spans="2:4">
      <c r="B139" s="83"/>
      <c r="C139" s="88"/>
      <c r="D139" t="s">
        <v>296</v>
      </c>
    </row>
    <row r="140" spans="2:4">
      <c r="B140" s="83"/>
      <c r="C140" s="88"/>
      <c r="D140" t="s">
        <v>297</v>
      </c>
    </row>
    <row r="141" spans="2:4">
      <c r="B141" s="83"/>
      <c r="C141" s="88"/>
      <c r="D141" t="s">
        <v>298</v>
      </c>
    </row>
    <row r="142" spans="2:4">
      <c r="B142" s="83"/>
      <c r="C142" s="88"/>
      <c r="D142" t="s">
        <v>299</v>
      </c>
    </row>
    <row r="143" spans="2:4">
      <c r="B143" s="83"/>
      <c r="C143" s="88"/>
      <c r="D143" t="s">
        <v>300</v>
      </c>
    </row>
    <row r="144" spans="2:4">
      <c r="B144" s="83"/>
      <c r="C144" s="88"/>
      <c r="D144" t="s">
        <v>301</v>
      </c>
    </row>
    <row r="145" spans="2:4">
      <c r="B145" s="83"/>
      <c r="C145" s="88"/>
      <c r="D145" t="s">
        <v>302</v>
      </c>
    </row>
    <row r="146" spans="2:4">
      <c r="B146" s="83"/>
      <c r="C146" s="88"/>
      <c r="D146" t="s">
        <v>303</v>
      </c>
    </row>
    <row r="147" spans="2:4">
      <c r="B147" s="83"/>
      <c r="C147" s="88"/>
      <c r="D147" t="s">
        <v>304</v>
      </c>
    </row>
    <row r="148" spans="2:4">
      <c r="B148" s="83"/>
      <c r="C148" s="83">
        <v>3.11</v>
      </c>
      <c r="D148" t="s">
        <v>307</v>
      </c>
    </row>
    <row r="149" spans="2:4">
      <c r="B149" s="83"/>
      <c r="C149" s="83"/>
      <c r="D149" t="s">
        <v>310</v>
      </c>
    </row>
    <row r="150" spans="2:4">
      <c r="B150" s="83"/>
      <c r="C150" s="83"/>
      <c r="D150" t="s">
        <v>305</v>
      </c>
    </row>
    <row r="151" spans="2:4">
      <c r="B151" s="83"/>
      <c r="C151" s="83"/>
      <c r="D151" t="s">
        <v>306</v>
      </c>
    </row>
    <row r="152" spans="2:4">
      <c r="B152" s="83"/>
      <c r="C152" s="83"/>
      <c r="D152" t="s">
        <v>212</v>
      </c>
    </row>
    <row r="153" spans="2:4">
      <c r="B153" s="83"/>
      <c r="C153" s="83">
        <v>3.12</v>
      </c>
      <c r="D153" s="90" t="s">
        <v>311</v>
      </c>
    </row>
    <row r="154" spans="2:4">
      <c r="B154" s="83"/>
      <c r="C154" s="83"/>
      <c r="D154" s="90" t="s">
        <v>312</v>
      </c>
    </row>
    <row r="155" spans="2:4">
      <c r="B155" s="83"/>
      <c r="C155" s="83"/>
      <c r="D155" s="90" t="s">
        <v>313</v>
      </c>
    </row>
    <row r="156" spans="2:4">
      <c r="B156" s="83"/>
      <c r="C156" s="83"/>
      <c r="D156" s="90" t="s">
        <v>314</v>
      </c>
    </row>
    <row r="157" spans="2:4">
      <c r="B157" s="83"/>
      <c r="C157" s="83"/>
      <c r="D157" s="90" t="s">
        <v>315</v>
      </c>
    </row>
    <row r="158" spans="2:4">
      <c r="B158" s="83"/>
      <c r="C158" s="83"/>
      <c r="D158" s="90" t="s">
        <v>316</v>
      </c>
    </row>
    <row r="159" spans="2:4">
      <c r="B159" s="83"/>
      <c r="C159" s="83"/>
      <c r="D159" s="90" t="s">
        <v>317</v>
      </c>
    </row>
    <row r="160" spans="2:4">
      <c r="B160" s="83"/>
      <c r="C160" s="83"/>
      <c r="D160" s="90" t="s">
        <v>318</v>
      </c>
    </row>
    <row r="161" spans="2:4">
      <c r="B161" s="83"/>
      <c r="C161" s="83"/>
      <c r="D161" s="90" t="s">
        <v>423</v>
      </c>
    </row>
    <row r="162" spans="2:4">
      <c r="B162" s="83"/>
      <c r="C162" s="83"/>
      <c r="D162" s="90" t="s">
        <v>319</v>
      </c>
    </row>
    <row r="163" spans="2:4">
      <c r="B163" s="83"/>
      <c r="C163" s="83"/>
      <c r="D163" s="90" t="s">
        <v>320</v>
      </c>
    </row>
    <row r="164" spans="2:4">
      <c r="B164" s="83"/>
      <c r="C164" s="83"/>
      <c r="D164" s="90" t="s">
        <v>321</v>
      </c>
    </row>
    <row r="165" spans="2:4">
      <c r="B165" s="83"/>
      <c r="C165" s="83"/>
      <c r="D165" s="90" t="s">
        <v>322</v>
      </c>
    </row>
    <row r="166" spans="2:4">
      <c r="B166" s="83"/>
      <c r="C166" s="83">
        <v>3.13</v>
      </c>
      <c r="D166" t="s">
        <v>383</v>
      </c>
    </row>
    <row r="167" spans="2:4">
      <c r="B167" s="83"/>
      <c r="C167" s="83"/>
      <c r="D167" t="s">
        <v>384</v>
      </c>
    </row>
    <row r="168" spans="2:4">
      <c r="B168" s="83"/>
      <c r="C168" s="83"/>
      <c r="D168" t="s">
        <v>385</v>
      </c>
    </row>
    <row r="169" spans="2:4">
      <c r="B169" s="83"/>
      <c r="C169" s="83"/>
      <c r="D169" t="s">
        <v>386</v>
      </c>
    </row>
    <row r="170" spans="2:4">
      <c r="B170" s="83"/>
      <c r="C170" s="83"/>
      <c r="D170" t="s">
        <v>387</v>
      </c>
    </row>
    <row r="171" spans="2:4">
      <c r="B171" s="83"/>
      <c r="C171" s="83"/>
      <c r="D171" t="s">
        <v>388</v>
      </c>
    </row>
    <row r="172" spans="2:4">
      <c r="B172" s="83"/>
      <c r="C172" s="83"/>
      <c r="D172" t="s">
        <v>422</v>
      </c>
    </row>
    <row r="173" spans="2:4">
      <c r="B173" s="83"/>
      <c r="C173" s="83"/>
      <c r="D173" t="s">
        <v>389</v>
      </c>
    </row>
    <row r="174" spans="2:4">
      <c r="B174" s="83"/>
      <c r="C174" s="83"/>
      <c r="D174" t="s">
        <v>390</v>
      </c>
    </row>
    <row r="175" spans="2:4">
      <c r="B175" s="83"/>
      <c r="C175" s="83"/>
      <c r="D175" t="s">
        <v>420</v>
      </c>
    </row>
    <row r="176" spans="2:4">
      <c r="B176" s="83"/>
      <c r="C176" s="83"/>
      <c r="D176" t="s">
        <v>391</v>
      </c>
    </row>
    <row r="177" spans="2:4">
      <c r="B177" s="83"/>
      <c r="C177" s="83"/>
      <c r="D177" t="s">
        <v>248</v>
      </c>
    </row>
    <row r="178" spans="2:4">
      <c r="B178" s="83"/>
      <c r="C178" s="83"/>
      <c r="D178" t="s">
        <v>392</v>
      </c>
    </row>
    <row r="179" spans="2:4">
      <c r="B179" s="83"/>
      <c r="C179" s="83">
        <v>3.14</v>
      </c>
      <c r="D179" t="s">
        <v>323</v>
      </c>
    </row>
    <row r="180" spans="2:4">
      <c r="B180" s="83"/>
      <c r="C180" s="83"/>
      <c r="D180" t="s">
        <v>324</v>
      </c>
    </row>
    <row r="181" spans="2:4">
      <c r="B181" s="83"/>
      <c r="C181" s="83"/>
      <c r="D181" t="s">
        <v>325</v>
      </c>
    </row>
    <row r="182" spans="2:4">
      <c r="B182" s="83"/>
      <c r="C182" s="83"/>
      <c r="D182" t="s">
        <v>326</v>
      </c>
    </row>
    <row r="183" spans="2:4">
      <c r="B183" s="83"/>
      <c r="C183" s="83"/>
      <c r="D183" t="s">
        <v>327</v>
      </c>
    </row>
    <row r="184" spans="2:4">
      <c r="B184" s="83"/>
      <c r="C184" s="83"/>
      <c r="D184" t="s">
        <v>328</v>
      </c>
    </row>
    <row r="185" spans="2:4">
      <c r="B185" s="83"/>
      <c r="C185" s="83"/>
      <c r="D185" t="s">
        <v>329</v>
      </c>
    </row>
    <row r="186" spans="2:4">
      <c r="B186" s="83"/>
      <c r="C186" s="83"/>
      <c r="D186" t="s">
        <v>330</v>
      </c>
    </row>
    <row r="187" spans="2:4">
      <c r="B187" s="83"/>
      <c r="C187" s="83"/>
      <c r="D187" t="s">
        <v>331</v>
      </c>
    </row>
    <row r="188" spans="2:4">
      <c r="B188" s="83"/>
      <c r="C188" s="83"/>
      <c r="D188" t="s">
        <v>332</v>
      </c>
    </row>
    <row r="189" spans="2:4">
      <c r="B189" s="83"/>
      <c r="C189" s="83"/>
      <c r="D189" t="s">
        <v>333</v>
      </c>
    </row>
    <row r="190" spans="2:4">
      <c r="B190" s="83"/>
      <c r="C190" s="83"/>
      <c r="D190" t="s">
        <v>334</v>
      </c>
    </row>
    <row r="191" spans="2:4">
      <c r="B191" s="83"/>
      <c r="C191" s="83">
        <v>3.15</v>
      </c>
      <c r="D191" t="s">
        <v>335</v>
      </c>
    </row>
    <row r="192" spans="2:4">
      <c r="B192" s="83"/>
      <c r="C192" s="83"/>
      <c r="D192" t="s">
        <v>336</v>
      </c>
    </row>
    <row r="193" spans="2:4">
      <c r="B193" s="83"/>
      <c r="C193" s="83"/>
      <c r="D193" t="s">
        <v>337</v>
      </c>
    </row>
    <row r="194" spans="2:4">
      <c r="B194" s="83"/>
      <c r="C194" s="83"/>
      <c r="D194" t="s">
        <v>338</v>
      </c>
    </row>
    <row r="195" spans="2:4">
      <c r="B195" s="83"/>
      <c r="C195" s="83"/>
      <c r="D195" t="s">
        <v>339</v>
      </c>
    </row>
    <row r="196" spans="2:4">
      <c r="B196" s="83"/>
      <c r="C196" s="83"/>
      <c r="D196" t="s">
        <v>340</v>
      </c>
    </row>
    <row r="197" spans="2:4">
      <c r="B197" s="83"/>
      <c r="C197" s="83"/>
      <c r="D197" t="s">
        <v>341</v>
      </c>
    </row>
    <row r="198" spans="2:4">
      <c r="B198" s="83"/>
      <c r="C198" s="83"/>
      <c r="D198" t="s">
        <v>342</v>
      </c>
    </row>
    <row r="199" spans="2:4">
      <c r="B199" s="83"/>
      <c r="C199" s="83"/>
      <c r="D199" t="s">
        <v>343</v>
      </c>
    </row>
    <row r="200" spans="2:4">
      <c r="B200" s="83"/>
      <c r="C200" s="83"/>
      <c r="D200" t="s">
        <v>344</v>
      </c>
    </row>
    <row r="201" spans="2:4">
      <c r="B201" s="83"/>
      <c r="C201" s="83"/>
      <c r="D201" t="s">
        <v>345</v>
      </c>
    </row>
    <row r="202" spans="2:4">
      <c r="B202" s="83"/>
      <c r="C202" s="83"/>
      <c r="D202" t="s">
        <v>346</v>
      </c>
    </row>
    <row r="203" spans="2:4">
      <c r="B203" s="83"/>
      <c r="C203" s="83"/>
      <c r="D203" t="s">
        <v>347</v>
      </c>
    </row>
    <row r="204" spans="2:4">
      <c r="B204" s="83"/>
      <c r="C204" s="83"/>
      <c r="D204" t="s">
        <v>348</v>
      </c>
    </row>
    <row r="205" spans="2:4">
      <c r="B205" s="83"/>
      <c r="C205" s="83">
        <v>3.16</v>
      </c>
      <c r="D205" t="s">
        <v>349</v>
      </c>
    </row>
    <row r="206" spans="2:4">
      <c r="B206" s="83"/>
      <c r="C206" s="83"/>
      <c r="D206" t="s">
        <v>350</v>
      </c>
    </row>
    <row r="207" spans="2:4">
      <c r="B207" s="83"/>
      <c r="C207" s="83"/>
      <c r="D207" t="s">
        <v>351</v>
      </c>
    </row>
    <row r="208" spans="2:4">
      <c r="B208" s="83"/>
      <c r="C208" s="83"/>
      <c r="D208" t="s">
        <v>352</v>
      </c>
    </row>
    <row r="209" spans="2:4">
      <c r="B209" s="83"/>
      <c r="C209" s="83"/>
      <c r="D209" t="s">
        <v>353</v>
      </c>
    </row>
    <row r="210" spans="2:4">
      <c r="B210" s="83"/>
      <c r="C210" s="83"/>
      <c r="D210" t="s">
        <v>354</v>
      </c>
    </row>
    <row r="211" spans="2:4">
      <c r="B211" s="83"/>
      <c r="C211" s="83">
        <v>3.17</v>
      </c>
      <c r="D211" t="s">
        <v>355</v>
      </c>
    </row>
    <row r="212" spans="2:4">
      <c r="B212" s="83"/>
      <c r="C212" s="83"/>
      <c r="D212" t="s">
        <v>356</v>
      </c>
    </row>
    <row r="213" spans="2:4">
      <c r="B213" s="83"/>
      <c r="C213" s="83"/>
      <c r="D213" t="s">
        <v>357</v>
      </c>
    </row>
    <row r="214" spans="2:4">
      <c r="B214" s="83"/>
      <c r="C214" s="83"/>
      <c r="D214" t="s">
        <v>358</v>
      </c>
    </row>
    <row r="215" spans="2:4">
      <c r="B215" s="83"/>
      <c r="C215" s="83"/>
      <c r="D215" t="s">
        <v>359</v>
      </c>
    </row>
    <row r="216" spans="2:4">
      <c r="B216" s="83"/>
      <c r="C216" s="83"/>
      <c r="D216" t="s">
        <v>360</v>
      </c>
    </row>
    <row r="217" spans="2:4">
      <c r="B217" s="83"/>
      <c r="C217" s="83">
        <v>3.18</v>
      </c>
      <c r="D217" t="s">
        <v>361</v>
      </c>
    </row>
    <row r="218" spans="2:4">
      <c r="B218" s="83"/>
      <c r="C218" s="83"/>
      <c r="D218" t="s">
        <v>362</v>
      </c>
    </row>
    <row r="219" spans="2:4">
      <c r="B219" s="83"/>
      <c r="C219" s="83"/>
      <c r="D219" t="s">
        <v>363</v>
      </c>
    </row>
    <row r="220" spans="2:4">
      <c r="B220" s="83"/>
      <c r="C220" s="83"/>
      <c r="D220" t="s">
        <v>364</v>
      </c>
    </row>
    <row r="221" spans="2:4">
      <c r="B221" s="83"/>
      <c r="C221" s="83"/>
      <c r="D221" t="s">
        <v>365</v>
      </c>
    </row>
    <row r="222" spans="2:4">
      <c r="B222" s="83"/>
      <c r="C222" s="83"/>
      <c r="D222" t="s">
        <v>366</v>
      </c>
    </row>
    <row r="223" spans="2:4">
      <c r="B223" s="83"/>
      <c r="C223" s="83"/>
      <c r="D223" t="s">
        <v>367</v>
      </c>
    </row>
    <row r="224" spans="2:4">
      <c r="B224" s="83"/>
      <c r="C224" s="83"/>
      <c r="D224" t="s">
        <v>368</v>
      </c>
    </row>
    <row r="225" spans="2:4">
      <c r="B225" s="83"/>
      <c r="C225" s="83"/>
      <c r="D225" t="s">
        <v>369</v>
      </c>
    </row>
    <row r="226" spans="2:4">
      <c r="B226" s="83"/>
      <c r="C226" s="83"/>
      <c r="D226" t="s">
        <v>370</v>
      </c>
    </row>
    <row r="227" spans="2:4">
      <c r="B227" s="83"/>
      <c r="C227" s="83"/>
      <c r="D227" t="s">
        <v>371</v>
      </c>
    </row>
    <row r="228" spans="2:4">
      <c r="B228" s="83"/>
      <c r="C228" s="83"/>
      <c r="D228" t="s">
        <v>372</v>
      </c>
    </row>
    <row r="229" spans="2:4">
      <c r="B229" s="83">
        <v>4</v>
      </c>
      <c r="C229" s="83">
        <v>4.0999999999999996</v>
      </c>
      <c r="D229" t="s">
        <v>374</v>
      </c>
    </row>
    <row r="230" spans="2:4">
      <c r="B230" s="83"/>
      <c r="C230" s="83"/>
      <c r="D230" t="s">
        <v>375</v>
      </c>
    </row>
    <row r="231" spans="2:4">
      <c r="B231" s="83"/>
      <c r="C231" s="83"/>
      <c r="D231" t="s">
        <v>376</v>
      </c>
    </row>
    <row r="232" spans="2:4">
      <c r="B232" s="83"/>
      <c r="C232" s="83"/>
      <c r="D232" t="s">
        <v>377</v>
      </c>
    </row>
    <row r="233" spans="2:4">
      <c r="B233" s="83"/>
      <c r="C233" s="83"/>
      <c r="D233" t="s">
        <v>378</v>
      </c>
    </row>
    <row r="234" spans="2:4">
      <c r="B234" s="83"/>
      <c r="C234" s="83"/>
      <c r="D234" t="s">
        <v>379</v>
      </c>
    </row>
    <row r="235" spans="2:4">
      <c r="B235" s="83"/>
      <c r="C235" s="83"/>
      <c r="D235" t="s">
        <v>380</v>
      </c>
    </row>
    <row r="236" spans="2:4">
      <c r="B236" s="83"/>
      <c r="C236" s="83"/>
      <c r="D236" t="s">
        <v>381</v>
      </c>
    </row>
    <row r="237" spans="2:4">
      <c r="B237" s="83"/>
      <c r="C237" s="83"/>
      <c r="D237" t="s">
        <v>382</v>
      </c>
    </row>
    <row r="238" spans="2:4">
      <c r="B238" s="83"/>
      <c r="C238" s="83">
        <v>4.2</v>
      </c>
      <c r="D238" t="s">
        <v>393</v>
      </c>
    </row>
    <row r="239" spans="2:4">
      <c r="B239" s="83"/>
      <c r="C239" s="83"/>
      <c r="D239" t="s">
        <v>394</v>
      </c>
    </row>
    <row r="240" spans="2:4">
      <c r="B240" s="83"/>
      <c r="C240" s="83"/>
      <c r="D240" t="s">
        <v>395</v>
      </c>
    </row>
    <row r="241" spans="2:4">
      <c r="B241" s="83"/>
      <c r="C241" s="83"/>
      <c r="D241" t="s">
        <v>396</v>
      </c>
    </row>
    <row r="242" spans="2:4">
      <c r="B242" s="83"/>
      <c r="C242" s="83"/>
      <c r="D242" t="s">
        <v>397</v>
      </c>
    </row>
    <row r="243" spans="2:4">
      <c r="B243" s="83"/>
      <c r="C243" s="83"/>
      <c r="D243" t="s">
        <v>398</v>
      </c>
    </row>
    <row r="244" spans="2:4">
      <c r="B244" s="83"/>
      <c r="C244" s="83"/>
      <c r="D244" t="s">
        <v>399</v>
      </c>
    </row>
    <row r="245" spans="2:4">
      <c r="B245" s="83"/>
      <c r="C245" s="83"/>
      <c r="D245" t="s">
        <v>400</v>
      </c>
    </row>
    <row r="246" spans="2:4">
      <c r="B246" s="83"/>
      <c r="C246" s="83"/>
      <c r="D246" t="s">
        <v>401</v>
      </c>
    </row>
    <row r="247" spans="2:4">
      <c r="B247" s="83"/>
      <c r="C247" s="83">
        <v>4.3</v>
      </c>
      <c r="D247" t="s">
        <v>402</v>
      </c>
    </row>
    <row r="248" spans="2:4">
      <c r="B248" s="83"/>
      <c r="C248" s="83"/>
      <c r="D248" t="s">
        <v>403</v>
      </c>
    </row>
    <row r="249" spans="2:4">
      <c r="B249" s="83"/>
      <c r="C249" s="83"/>
      <c r="D249" t="s">
        <v>404</v>
      </c>
    </row>
    <row r="250" spans="2:4">
      <c r="B250" s="83"/>
      <c r="C250" s="83"/>
      <c r="D250" t="s">
        <v>405</v>
      </c>
    </row>
    <row r="251" spans="2:4">
      <c r="B251" s="83"/>
      <c r="C251" s="83"/>
      <c r="D251" t="s">
        <v>406</v>
      </c>
    </row>
    <row r="252" spans="2:4">
      <c r="B252" s="83"/>
      <c r="C252" s="83"/>
      <c r="D252" t="s">
        <v>407</v>
      </c>
    </row>
    <row r="253" spans="2:4">
      <c r="B253" s="83"/>
      <c r="C253" s="83"/>
      <c r="D253" t="s">
        <v>408</v>
      </c>
    </row>
  </sheetData>
  <mergeCells count="35">
    <mergeCell ref="C247:C253"/>
    <mergeCell ref="B229:B253"/>
    <mergeCell ref="B58:B228"/>
    <mergeCell ref="B28:B57"/>
    <mergeCell ref="B3:B27"/>
    <mergeCell ref="A1:I1"/>
    <mergeCell ref="C166:C178"/>
    <mergeCell ref="C179:C190"/>
    <mergeCell ref="C191:C204"/>
    <mergeCell ref="C205:C210"/>
    <mergeCell ref="C211:C216"/>
    <mergeCell ref="C217:C228"/>
    <mergeCell ref="C54:C57"/>
    <mergeCell ref="C58:C64"/>
    <mergeCell ref="C65:C71"/>
    <mergeCell ref="C72:C77"/>
    <mergeCell ref="C78:C87"/>
    <mergeCell ref="C88:C94"/>
    <mergeCell ref="C95:C111"/>
    <mergeCell ref="C112:C117"/>
    <mergeCell ref="C118:C126"/>
    <mergeCell ref="C229:C237"/>
    <mergeCell ref="C238:C246"/>
    <mergeCell ref="C127:C137"/>
    <mergeCell ref="C138:C147"/>
    <mergeCell ref="C148:C152"/>
    <mergeCell ref="C153:C165"/>
    <mergeCell ref="C29:C35"/>
    <mergeCell ref="C36:C42"/>
    <mergeCell ref="C43:C47"/>
    <mergeCell ref="C48:C53"/>
    <mergeCell ref="C3:C12"/>
    <mergeCell ref="C13:C17"/>
    <mergeCell ref="C18:C22"/>
    <mergeCell ref="C23:C27"/>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B384-1725-40B5-B0F7-A3A77A0F68B1}">
  <dimension ref="A1:J11"/>
  <sheetViews>
    <sheetView zoomScale="85" zoomScaleNormal="85" workbookViewId="0">
      <selection activeCell="E7" sqref="E7"/>
    </sheetView>
  </sheetViews>
  <sheetFormatPr defaultRowHeight="14.4"/>
  <cols>
    <col min="1" max="1" width="14.77734375" bestFit="1" customWidth="1"/>
    <col min="2" max="2" width="17.21875" bestFit="1" customWidth="1"/>
    <col min="3" max="3" width="20" customWidth="1"/>
    <col min="4" max="4" width="35.77734375" customWidth="1"/>
    <col min="5" max="5" width="51.109375" customWidth="1"/>
    <col min="6" max="6" width="19" bestFit="1" customWidth="1"/>
    <col min="7" max="7" width="9.44140625" bestFit="1" customWidth="1"/>
    <col min="8" max="8" width="17.5546875" bestFit="1" customWidth="1"/>
    <col min="9" max="9" width="17.88671875" customWidth="1"/>
    <col min="10" max="10" width="14.44140625" bestFit="1" customWidth="1"/>
  </cols>
  <sheetData>
    <row r="1" spans="1:10">
      <c r="A1" s="60"/>
      <c r="B1" s="73" t="s">
        <v>105</v>
      </c>
      <c r="C1" s="73"/>
      <c r="D1" s="73"/>
      <c r="E1" s="60"/>
      <c r="F1" s="60"/>
      <c r="G1" s="56" t="s">
        <v>158</v>
      </c>
      <c r="H1" s="56" t="s">
        <v>158</v>
      </c>
      <c r="I1" s="60"/>
      <c r="J1" s="60"/>
    </row>
    <row r="2" spans="1:10">
      <c r="A2" s="53" t="s">
        <v>10</v>
      </c>
      <c r="B2" s="53" t="s">
        <v>156</v>
      </c>
      <c r="C2" s="53" t="s">
        <v>131</v>
      </c>
      <c r="D2" s="53" t="s">
        <v>132</v>
      </c>
      <c r="E2" s="53" t="s">
        <v>141</v>
      </c>
      <c r="F2" s="53" t="s">
        <v>143</v>
      </c>
      <c r="G2" s="53" t="s">
        <v>106</v>
      </c>
      <c r="H2" s="53" t="s">
        <v>157</v>
      </c>
      <c r="I2" s="53" t="s">
        <v>160</v>
      </c>
      <c r="J2" s="53" t="s">
        <v>159</v>
      </c>
    </row>
    <row r="3" spans="1:10" ht="86.4">
      <c r="A3" s="33">
        <v>1</v>
      </c>
      <c r="B3" s="64" t="s">
        <v>133</v>
      </c>
      <c r="C3" s="58" t="s">
        <v>135</v>
      </c>
      <c r="D3" s="58" t="s">
        <v>136</v>
      </c>
      <c r="E3" s="58" t="s">
        <v>144</v>
      </c>
      <c r="G3">
        <v>5</v>
      </c>
      <c r="H3">
        <v>1</v>
      </c>
      <c r="I3">
        <f>6-H3</f>
        <v>5</v>
      </c>
      <c r="J3">
        <f>SQRT(G3*I3)</f>
        <v>5</v>
      </c>
    </row>
    <row r="4" spans="1:10" ht="158.4">
      <c r="A4" s="33">
        <v>2</v>
      </c>
      <c r="B4" s="64" t="s">
        <v>133</v>
      </c>
      <c r="C4" s="58" t="s">
        <v>138</v>
      </c>
      <c r="D4" s="1" t="s">
        <v>145</v>
      </c>
      <c r="E4" s="58" t="s">
        <v>162</v>
      </c>
    </row>
    <row r="5" spans="1:10" s="13" customFormat="1" ht="409.2" customHeight="1">
      <c r="A5" s="59">
        <v>3</v>
      </c>
      <c r="B5" s="31" t="s">
        <v>133</v>
      </c>
      <c r="C5" s="63" t="s">
        <v>142</v>
      </c>
      <c r="D5" s="1" t="s">
        <v>164</v>
      </c>
      <c r="E5" s="58" t="s">
        <v>163</v>
      </c>
    </row>
    <row r="6" spans="1:10" ht="86.4">
      <c r="A6" s="33">
        <v>4</v>
      </c>
      <c r="B6" s="14" t="s">
        <v>133</v>
      </c>
      <c r="C6" s="58" t="s">
        <v>154</v>
      </c>
      <c r="D6" s="1" t="s">
        <v>161</v>
      </c>
      <c r="E6" s="58" t="s">
        <v>166</v>
      </c>
    </row>
    <row r="7" spans="1:10" ht="86.4">
      <c r="A7" s="68">
        <v>5</v>
      </c>
      <c r="B7" s="69" t="s">
        <v>133</v>
      </c>
      <c r="C7" s="70" t="s">
        <v>167</v>
      </c>
      <c r="D7" s="71" t="s">
        <v>165</v>
      </c>
      <c r="E7" s="72"/>
    </row>
    <row r="8" spans="1:10">
      <c r="A8" s="33"/>
      <c r="B8" s="14"/>
      <c r="C8" s="14"/>
      <c r="D8" s="1"/>
    </row>
    <row r="9" spans="1:10">
      <c r="A9" s="33"/>
      <c r="B9" s="14"/>
      <c r="C9" s="14"/>
      <c r="D9" s="1"/>
    </row>
    <row r="10" spans="1:10">
      <c r="A10" s="14"/>
      <c r="B10" s="14"/>
      <c r="C10" s="14"/>
      <c r="D10" s="31"/>
    </row>
    <row r="11" spans="1:10">
      <c r="A11" s="14"/>
      <c r="B11" s="14"/>
      <c r="C11" s="14"/>
      <c r="D11" s="31"/>
    </row>
  </sheetData>
  <mergeCells count="1">
    <mergeCell ref="B1:D1"/>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1110B-B1A6-47E4-BCEC-C2B4CA62D5BE}">
  <dimension ref="A1:G3"/>
  <sheetViews>
    <sheetView workbookViewId="0">
      <selection activeCell="H14" sqref="H14"/>
    </sheetView>
  </sheetViews>
  <sheetFormatPr defaultRowHeight="14.4"/>
  <sheetData>
    <row r="1" spans="1:7">
      <c r="A1" s="81" t="s">
        <v>153</v>
      </c>
      <c r="B1" s="81"/>
      <c r="C1" s="81"/>
      <c r="D1" s="81"/>
      <c r="E1" s="81"/>
      <c r="F1" s="81"/>
      <c r="G1" s="81"/>
    </row>
    <row r="2" spans="1:7">
      <c r="A2" s="65" t="s">
        <v>146</v>
      </c>
      <c r="B2" s="65" t="s">
        <v>147</v>
      </c>
      <c r="C2" s="65" t="s">
        <v>148</v>
      </c>
      <c r="D2" s="65" t="s">
        <v>149</v>
      </c>
      <c r="E2" s="65" t="s">
        <v>150</v>
      </c>
      <c r="F2" s="65" t="s">
        <v>151</v>
      </c>
      <c r="G2" s="65" t="s">
        <v>152</v>
      </c>
    </row>
    <row r="3" spans="1:7">
      <c r="A3" s="65">
        <v>1</v>
      </c>
      <c r="B3" s="65">
        <v>2</v>
      </c>
      <c r="C3" s="65">
        <f>A3+B3</f>
        <v>3</v>
      </c>
      <c r="D3" s="65">
        <f t="shared" ref="D3:G3" si="0">B3+C3</f>
        <v>5</v>
      </c>
      <c r="E3" s="65">
        <f t="shared" si="0"/>
        <v>8</v>
      </c>
      <c r="F3" s="66">
        <f t="shared" si="0"/>
        <v>13</v>
      </c>
      <c r="G3" s="67">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Project Plan</vt:lpstr>
      <vt:lpstr>Sprint Plan</vt:lpstr>
      <vt:lpstr>Sprint Backlog</vt:lpstr>
      <vt:lpstr>Sheet2</vt:lpstr>
      <vt:lpstr>Product Backlog</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2026-08-21T11:09:04Z</dcterms:modified>
</cp:coreProperties>
</file>