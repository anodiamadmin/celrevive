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5226C896-19F0-4C3B-84F0-AF4AC9EE4895}" xr6:coauthVersionLast="47" xr6:coauthVersionMax="47" xr10:uidLastSave="{00000000-0000-0000-0000-000000000000}"/>
  <bookViews>
    <workbookView xWindow="-108" yWindow="-108" windowWidth="23256" windowHeight="13176" activeTab="2" xr2:uid="{00000000-000D-0000-FFFF-FFFF00000000}"/>
  </bookViews>
  <sheets>
    <sheet name="Product Backlog" sheetId="4" r:id="rId1"/>
    <sheet name="Sprint Backlog" sheetId="8" r:id="rId2"/>
    <sheet name="Updated Sprint" sheetId="10" r:id="rId3"/>
    <sheet name="Burndown Chart" sheetId="9" r:id="rId4"/>
    <sheet name="T Shirt sizing rules" sheetId="5" r:id="rId5"/>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10" l="1" a="1"/>
  <c r="F4" i="10"/>
  <c r="F5" i="10" a="1"/>
  <c r="F5" i="10"/>
  <c r="F6" i="10" a="1"/>
  <c r="F6" i="10" s="1"/>
  <c r="F7" i="10" a="1"/>
  <c r="F7" i="10" s="1"/>
  <c r="F8" i="10" a="1"/>
  <c r="F8" i="10"/>
  <c r="F9" i="10" a="1"/>
  <c r="F9" i="10"/>
  <c r="F10" i="10" a="1"/>
  <c r="F10" i="10"/>
  <c r="F11" i="10" a="1"/>
  <c r="F11" i="10"/>
  <c r="F12" i="10" a="1"/>
  <c r="F12" i="10" s="1"/>
  <c r="F13" i="10" a="1"/>
  <c r="F13" i="10"/>
  <c r="F3" i="10" a="1"/>
  <c r="F3" i="10" s="1"/>
  <c r="F14" i="10" s="1"/>
  <c r="F12" i="8" a="1"/>
  <c r="F12" i="8" s="1"/>
  <c r="F3" i="8" a="1"/>
  <c r="F3" i="8" s="1"/>
  <c r="C3" i="5"/>
  <c r="D3" i="5" s="1"/>
  <c r="D2" i="9" l="1"/>
  <c r="D3" i="9"/>
  <c r="D4" i="9"/>
  <c r="D5" i="9"/>
  <c r="D6" i="9"/>
  <c r="D7" i="9"/>
  <c r="D8" i="9"/>
  <c r="D9" i="9"/>
  <c r="C10" i="9"/>
  <c r="D10" i="9"/>
  <c r="C9" i="9"/>
  <c r="C7" i="9"/>
  <c r="C6" i="9"/>
  <c r="C5" i="9"/>
  <c r="C4" i="9"/>
  <c r="C3" i="9"/>
  <c r="C2" i="9"/>
  <c r="C8" i="9"/>
  <c r="F3" i="5"/>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A6123E30-2FFB-4B36-8675-D2A1F49CF554}">
      <text>
        <r>
          <rPr>
            <b/>
            <sz val="9"/>
            <color indexed="81"/>
            <rFont val="Tahoma"/>
            <family val="2"/>
          </rPr>
          <t>Author:</t>
        </r>
        <r>
          <rPr>
            <sz val="9"/>
            <color indexed="81"/>
            <rFont val="Tahoma"/>
            <family val="2"/>
          </rPr>
          <t xml:space="preserve">
TBD
WiP
Done</t>
        </r>
      </text>
    </comment>
    <comment ref="C3" authorId="0" shapeId="0" xr:uid="{3BEE7270-9E5D-4C3B-88E0-91F05B9BD669}">
      <text>
        <r>
          <rPr>
            <b/>
            <sz val="9"/>
            <color indexed="81"/>
            <rFont val="Tahoma"/>
            <charset val="1"/>
          </rPr>
          <t>Author:</t>
        </r>
        <r>
          <rPr>
            <sz val="9"/>
            <color indexed="81"/>
            <rFont val="Tahoma"/>
            <charset val="1"/>
          </rPr>
          <t xml:space="preserve">
Receive &amp; Validate Image</t>
        </r>
      </text>
    </comment>
    <comment ref="C12" authorId="0" shapeId="0" xr:uid="{D5A9F85E-92E8-4B8A-B751-650E1FE2569F}">
      <text>
        <r>
          <rPr>
            <b/>
            <sz val="9"/>
            <color indexed="81"/>
            <rFont val="Tahoma"/>
            <charset val="1"/>
          </rPr>
          <t>Author:</t>
        </r>
        <r>
          <rPr>
            <sz val="9"/>
            <color indexed="81"/>
            <rFont val="Tahoma"/>
            <charset val="1"/>
          </rPr>
          <t xml:space="preserve">
Image Quality Decision</t>
        </r>
      </text>
    </comment>
    <comment ref="C15" authorId="0" shapeId="0" xr:uid="{EFBBA07C-E254-4781-9933-E074E562E094}">
      <text>
        <r>
          <rPr>
            <b/>
            <sz val="9"/>
            <color indexed="81"/>
            <rFont val="Tahoma"/>
            <family val="2"/>
          </rPr>
          <t>Author:</t>
        </r>
        <r>
          <rPr>
            <sz val="9"/>
            <color indexed="81"/>
            <rFont val="Tahoma"/>
            <charset val="1"/>
          </rPr>
          <t xml:space="preserve">
Rejection Flow</t>
        </r>
      </text>
    </comment>
    <comment ref="C18" authorId="0" shapeId="0" xr:uid="{08C2F3F8-DE97-42AE-B963-708E64840735}">
      <text>
        <r>
          <rPr>
            <b/>
            <sz val="9"/>
            <color indexed="81"/>
            <rFont val="Tahoma"/>
            <family val="2"/>
          </rPr>
          <t>Author:</t>
        </r>
        <r>
          <rPr>
            <sz val="9"/>
            <color indexed="81"/>
            <rFont val="Tahoma"/>
            <charset val="1"/>
          </rPr>
          <t xml:space="preserve">
Testing</t>
        </r>
      </text>
    </comment>
    <comment ref="C26" authorId="0" shapeId="0" xr:uid="{98BE6294-CAA3-4259-A595-9BA237237285}">
      <text>
        <r>
          <rPr>
            <b/>
            <sz val="9"/>
            <color indexed="81"/>
            <rFont val="Tahoma"/>
            <family val="2"/>
          </rPr>
          <t>Author:</t>
        </r>
        <r>
          <rPr>
            <sz val="9"/>
            <color indexed="81"/>
            <rFont val="Tahoma"/>
            <family val="2"/>
          </rPr>
          <t xml:space="preserve">
Image Session Storage
</t>
        </r>
      </text>
    </comment>
    <comment ref="C29" authorId="0" shapeId="0" xr:uid="{140A5E96-154A-4162-A239-1DBD3E41810C}">
      <text>
        <r>
          <rPr>
            <b/>
            <sz val="9"/>
            <color indexed="81"/>
            <rFont val="Tahoma"/>
            <family val="2"/>
          </rPr>
          <t>Author:</t>
        </r>
        <r>
          <rPr>
            <sz val="9"/>
            <color indexed="81"/>
            <rFont val="Tahoma"/>
            <family val="2"/>
          </rPr>
          <t xml:space="preserve">
Visual AI Output</t>
        </r>
      </text>
    </comment>
    <comment ref="C31" authorId="0" shapeId="0" xr:uid="{E3A3B5A0-0F07-42D5-9D6D-8B8281899F6E}">
      <text>
        <r>
          <rPr>
            <b/>
            <sz val="9"/>
            <color indexed="81"/>
            <rFont val="Tahoma"/>
            <family val="2"/>
          </rPr>
          <t>Author:</t>
        </r>
        <r>
          <rPr>
            <sz val="9"/>
            <color indexed="81"/>
            <rFont val="Tahoma"/>
            <family val="2"/>
          </rPr>
          <t xml:space="preserve">
Visual AI Prompt</t>
        </r>
      </text>
    </comment>
    <comment ref="C38" authorId="0" shapeId="0" xr:uid="{FDDD7F68-C10A-4FC9-9764-CDD59417EB55}">
      <text>
        <r>
          <rPr>
            <b/>
            <sz val="9"/>
            <color indexed="81"/>
            <rFont val="Tahoma"/>
            <family val="2"/>
          </rPr>
          <t>Author:</t>
        </r>
        <r>
          <rPr>
            <sz val="9"/>
            <color indexed="81"/>
            <rFont val="Tahoma"/>
            <family val="2"/>
          </rPr>
          <t xml:space="preserve">
Visual AI Integration</t>
        </r>
      </text>
    </comment>
    <comment ref="C46" authorId="0" shapeId="0" xr:uid="{51C480C2-E212-4A32-86A1-5F704BCFF728}">
      <text>
        <r>
          <rPr>
            <b/>
            <sz val="9"/>
            <color indexed="81"/>
            <rFont val="Tahoma"/>
            <family val="2"/>
          </rPr>
          <t>Author:</t>
        </r>
        <r>
          <rPr>
            <sz val="9"/>
            <color indexed="81"/>
            <rFont val="Tahoma"/>
            <family val="2"/>
          </rPr>
          <t xml:space="preserve">
 Store Visual Analysis</t>
        </r>
      </text>
    </comment>
    <comment ref="C50" authorId="0" shapeId="0" xr:uid="{52553FD1-E265-4535-9DD2-2EA05E499E51}">
      <text>
        <r>
          <rPr>
            <b/>
            <sz val="9"/>
            <color indexed="81"/>
            <rFont val="Tahoma"/>
            <family val="2"/>
          </rPr>
          <t>Author:</t>
        </r>
        <r>
          <rPr>
            <sz val="9"/>
            <color indexed="81"/>
            <rFont val="Tahoma"/>
            <family val="2"/>
          </rPr>
          <t xml:space="preserve">
Testing</t>
        </r>
      </text>
    </comment>
    <comment ref="C59" authorId="0" shapeId="0" xr:uid="{E4589DAE-73CB-47AB-AD0F-AB8AF18DDD65}">
      <text>
        <r>
          <rPr>
            <b/>
            <sz val="9"/>
            <color indexed="81"/>
            <rFont val="Tahoma"/>
            <family val="2"/>
          </rPr>
          <t>Author:</t>
        </r>
        <r>
          <rPr>
            <sz val="9"/>
            <color indexed="81"/>
            <rFont val="Tahoma"/>
            <family val="2"/>
          </rPr>
          <t xml:space="preserve">
Questionnaire Collection</t>
        </r>
      </text>
    </comment>
    <comment ref="C65" authorId="0" shapeId="0" xr:uid="{D05C5BAE-0CC4-4ED2-88B6-98BF1ED2B235}">
      <text>
        <r>
          <rPr>
            <b/>
            <sz val="9"/>
            <color indexed="81"/>
            <rFont val="Tahoma"/>
            <family val="2"/>
          </rPr>
          <t>Author:</t>
        </r>
        <r>
          <rPr>
            <sz val="9"/>
            <color indexed="81"/>
            <rFont val="Tahoma"/>
            <family val="2"/>
          </rPr>
          <t xml:space="preserve">
Questionnaire LLM Analysis</t>
        </r>
      </text>
    </comment>
    <comment ref="C77" authorId="0" shapeId="0" xr:uid="{8C37B025-1BDA-457E-ADB8-C6B979CBD1B1}">
      <text>
        <r>
          <rPr>
            <b/>
            <sz val="9"/>
            <color indexed="81"/>
            <rFont val="Tahoma"/>
            <family val="2"/>
          </rPr>
          <t>Author:</t>
        </r>
        <r>
          <rPr>
            <sz val="9"/>
            <color indexed="81"/>
            <rFont val="Tahoma"/>
            <family val="2"/>
          </rPr>
          <t xml:space="preserve">
Concern Fusion</t>
        </r>
      </text>
    </comment>
    <comment ref="C88" authorId="0" shapeId="0" xr:uid="{D1A59F32-F52A-4554-9D45-7BAAF46B83A7}">
      <text>
        <r>
          <rPr>
            <b/>
            <sz val="9"/>
            <color indexed="81"/>
            <rFont val="Tahoma"/>
            <family val="2"/>
          </rPr>
          <t>Author:</t>
        </r>
        <r>
          <rPr>
            <sz val="9"/>
            <color indexed="81"/>
            <rFont val="Tahoma"/>
            <family val="2"/>
          </rPr>
          <t xml:space="preserve">
Candidate Generation</t>
        </r>
      </text>
    </comment>
    <comment ref="C101" authorId="0" shapeId="0" xr:uid="{29757E96-410A-48C6-A86D-C6221515FA91}">
      <text>
        <r>
          <rPr>
            <b/>
            <sz val="9"/>
            <color indexed="81"/>
            <rFont val="Tahoma"/>
            <family val="2"/>
          </rPr>
          <t>Author:</t>
        </r>
        <r>
          <rPr>
            <sz val="9"/>
            <color indexed="81"/>
            <rFont val="Tahoma"/>
            <family val="2"/>
          </rPr>
          <t xml:space="preserve">
Recommendation Generation</t>
        </r>
      </text>
    </comment>
    <comment ref="C110" authorId="0" shapeId="0" xr:uid="{C9E3522F-95B1-4BD8-BE53-4B604FDEA74C}">
      <text>
        <r>
          <rPr>
            <b/>
            <sz val="9"/>
            <color indexed="81"/>
            <rFont val="Tahoma"/>
            <family val="2"/>
          </rPr>
          <t>Author:</t>
        </r>
        <r>
          <rPr>
            <sz val="9"/>
            <color indexed="81"/>
            <rFont val="Tahoma"/>
            <family val="2"/>
          </rPr>
          <t xml:space="preserve">
Recommendation Persistence</t>
        </r>
      </text>
    </comment>
    <comment ref="C116" authorId="0" shapeId="0" xr:uid="{87018544-F456-4F26-A7A5-F72A08475131}">
      <text>
        <r>
          <rPr>
            <b/>
            <sz val="9"/>
            <color indexed="81"/>
            <rFont val="Tahoma"/>
            <family val="2"/>
          </rPr>
          <t>Author:</t>
        </r>
        <r>
          <rPr>
            <sz val="9"/>
            <color indexed="81"/>
            <rFont val="Tahoma"/>
            <family val="2"/>
          </rPr>
          <t xml:space="preserve">
Final Recommendation Response</t>
        </r>
      </text>
    </comment>
    <comment ref="C127" authorId="0" shapeId="0" xr:uid="{EC2B78D7-751C-44BB-9D07-F55A82442F1A}">
      <text>
        <r>
          <rPr>
            <b/>
            <sz val="9"/>
            <color indexed="81"/>
            <rFont val="Tahoma"/>
            <family val="2"/>
          </rPr>
          <t>Author:</t>
        </r>
        <r>
          <rPr>
            <sz val="9"/>
            <color indexed="81"/>
            <rFont val="Tahoma"/>
            <family val="2"/>
          </rPr>
          <t xml:space="preserve">
Recommendation Screen</t>
        </r>
      </text>
    </comment>
    <comment ref="C137" authorId="0" shapeId="0" xr:uid="{99C81342-5268-4323-82B8-DCB2C87D9E02}">
      <text>
        <r>
          <rPr>
            <b/>
            <sz val="9"/>
            <color indexed="81"/>
            <rFont val="Tahoma"/>
            <family val="2"/>
          </rPr>
          <t>Author:</t>
        </r>
        <r>
          <rPr>
            <sz val="9"/>
            <color indexed="81"/>
            <rFont val="Tahoma"/>
            <family val="2"/>
          </rPr>
          <t xml:space="preserve">
Recommendation Error Handling</t>
        </r>
      </text>
    </comment>
    <comment ref="C142" authorId="0" shapeId="0" xr:uid="{73BA3055-4675-4813-88D0-50B14C092AF1}">
      <text>
        <r>
          <rPr>
            <b/>
            <sz val="9"/>
            <color indexed="81"/>
            <rFont val="Tahoma"/>
            <family val="2"/>
          </rPr>
          <t>Author:</t>
        </r>
        <r>
          <rPr>
            <sz val="9"/>
            <color indexed="81"/>
            <rFont val="Tahoma"/>
            <family val="2"/>
          </rPr>
          <t xml:space="preserve">
Testing</t>
        </r>
      </text>
    </comment>
    <comment ref="C157" authorId="0" shapeId="0" xr:uid="{706E98C8-4B35-46F2-B926-68F27F8F78A4}">
      <text>
        <r>
          <rPr>
            <b/>
            <sz val="9"/>
            <color indexed="81"/>
            <rFont val="Tahoma"/>
            <family val="2"/>
          </rPr>
          <t>Author:</t>
        </r>
        <r>
          <rPr>
            <sz val="9"/>
            <color indexed="81"/>
            <rFont val="Tahoma"/>
            <family val="2"/>
          </rPr>
          <t xml:space="preserve">
Shopify Cart Integration</t>
        </r>
      </text>
    </comment>
    <comment ref="C161" authorId="0" shapeId="0" xr:uid="{A79A220B-8C29-48AD-9825-8780EE217E6A}">
      <text>
        <r>
          <rPr>
            <b/>
            <sz val="9"/>
            <color indexed="81"/>
            <rFont val="Tahoma"/>
            <family val="2"/>
          </rPr>
          <t>Author:</t>
        </r>
        <r>
          <rPr>
            <sz val="9"/>
            <color indexed="81"/>
            <rFont val="Tahoma"/>
            <family val="2"/>
          </rPr>
          <t xml:space="preserve">
Add to Cart Backend</t>
        </r>
      </text>
    </comment>
    <comment ref="C168" authorId="0" shapeId="0" xr:uid="{C4E0F00C-6245-4423-9EA8-8A42808307DE}">
      <text>
        <r>
          <rPr>
            <b/>
            <sz val="9"/>
            <color indexed="81"/>
            <rFont val="Tahoma"/>
            <family val="2"/>
          </rPr>
          <t>Author:</t>
        </r>
        <r>
          <rPr>
            <sz val="9"/>
            <color indexed="81"/>
            <rFont val="Tahoma"/>
            <family val="2"/>
          </rPr>
          <t xml:space="preserve">
Add to Cart UI</t>
        </r>
      </text>
    </comment>
    <comment ref="C174" authorId="0" shapeId="0" xr:uid="{D8702894-1958-4EC2-ACC6-FDE92A697344}">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4C8D1B9E-A5AC-43BE-8365-C18029D3B009}">
      <text>
        <r>
          <rPr>
            <b/>
            <sz val="9"/>
            <color indexed="81"/>
            <rFont val="Tahoma"/>
            <family val="2"/>
          </rPr>
          <t>Author:</t>
        </r>
        <r>
          <rPr>
            <sz val="9"/>
            <color indexed="81"/>
            <rFont val="Tahoma"/>
            <family val="2"/>
          </rPr>
          <t xml:space="preserve">
TBD
WiP
Done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<sst xmlns="http://schemas.openxmlformats.org/spreadsheetml/2006/main" count="306" uniqueCount="265">
  <si>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</si>
  <si>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</si>
  <si>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</si>
  <si>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</si>
  <si>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</si>
  <si>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</si>
  <si>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</si>
  <si>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</si>
  <si>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</si>
  <si>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</si>
  <si>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</si>
  <si>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</si>
  <si>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</si>
  <si>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</si>
  <si>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</si>
  <si>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</si>
  <si>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</si>
  <si>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</si>
  <si>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</si>
  <si>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</si>
  <si>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</si>
  <si>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</si>
  <si>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</si>
  <si>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</si>
  <si>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</si>
  <si>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</si>
  <si>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</si>
  <si>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</si>
  <si>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</si>
  <si>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</si>
  <si>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</si>
  <si>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</si>
  <si>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</si>
  <si>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</si>
  <si>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</si>
  <si>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</si>
  <si>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</si>
  <si>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</si>
  <si>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</si>
  <si>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</si>
  <si>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</si>
  <si>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</si>
  <si>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</si>
  <si>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</si>
  <si>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</si>
  <si>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</si>
  <si>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</si>
  <si>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</si>
  <si>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</si>
  <si>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</si>
  <si>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</si>
  <si>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</si>
  <si>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</si>
  <si>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</si>
  <si>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</si>
  <si>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</si>
  <si>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</si>
  <si>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</si>
  <si>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</si>
  <si>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</si>
  <si>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</si>
  <si>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</si>
  <si>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</si>
  <si>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</si>
  <si>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</si>
  <si>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</si>
  <si>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</si>
  <si>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</si>
  <si>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</si>
  <si>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</si>
  <si>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</si>
  <si>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</si>
  <si>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</si>
  <si>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</si>
  <si>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</si>
  <si>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</si>
  <si>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</si>
  <si>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</si>
  <si>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</si>
  <si>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</si>
  <si>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</si>
  <si>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</si>
  <si>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</si>
  <si>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</si>
  <si>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</si>
  <si>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</si>
  <si>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</si>
  <si>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</si>
  <si>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</si>
  <si>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</si>
  <si>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</si>
  <si>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</si>
  <si>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</si>
  <si>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</si>
  <si>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</si>
  <si>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</si>
  <si>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</si>
  <si>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</si>
  <si>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</si>
  <si>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</si>
  <si>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</si>
  <si>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</si>
  <si>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</si>
  <si>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</si>
  <si>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</si>
  <si>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</si>
  <si>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</si>
  <si>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</si>
  <si>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</si>
  <si>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</si>
  <si>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</si>
  <si>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</si>
  <si>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</si>
  <si>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</si>
  <si>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</si>
  <si>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</si>
  <si>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</si>
  <si>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</si>
  <si>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</si>
  <si>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</si>
  <si>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</si>
  <si>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</si>
  <si>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</si>
  <si>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</si>
  <si>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</si>
  <si>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</si>
  <si>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</si>
  <si>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</si>
  <si>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</si>
  <si>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</si>
  <si>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</si>
  <si>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</si>
  <si>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</si>
  <si>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</si>
  <si>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</si>
  <si>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</si>
  <si>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</si>
  <si>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</si>
  <si>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</si>
  <si>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</si>
  <si>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</si>
  <si>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</si>
  <si>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</si>
  <si>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</si>
  <si>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</si>
  <si>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</si>
  <si>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</si>
  <si>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</si>
  <si>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</si>
  <si>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</si>
  <si>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</si>
  <si>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</si>
  <si>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</si>
  <si>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</si>
  <si>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</si>
  <si>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</si>
  <si>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</si>
  <si>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</si>
  <si>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</si>
  <si>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</si>
  <si>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</si>
  <si>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</si>
  <si>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</si>
  <si>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</si>
  <si>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</si>
  <si>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</si>
  <si>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</si>
  <si>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</si>
  <si>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</si>
  <si>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</si>
  <si>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</si>
  <si>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</si>
  <si>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</si>
  <si>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</si>
  <si>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</si>
  <si>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</si>
  <si>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</si>
  <si>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</si>
  <si>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</si>
  <si>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</si>
  <si>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</si>
  <si>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</si>
  <si>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</si>
  <si>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</si>
  <si>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</si>
  <si>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</si>
  <si>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</si>
  <si>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</si>
  <si>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</si>
  <si>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</si>
  <si>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</si>
  <si>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</si>
  <si>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</si>
  <si>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</si>
  <si>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</si>
  <si>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</si>
  <si>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</si>
  <si>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</si>
  <si>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</si>
  <si>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</si>
  <si>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</si>
  <si>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</si>
  <si>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</si>
  <si>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</si>
  <si>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</si>
  <si>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</si>
  <si>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</si>
  <si>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</si>
  <si>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</si>
  <si>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</si>
  <si>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</si>
  <si>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</si>
  <si>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</si>
  <si>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</si>
  <si>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</si>
  <si>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</si>
  <si>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</si>
  <si>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</si>
  <si>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</si>
  <si>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</si>
  <si>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</si>
  <si>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</si>
  <si>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</si>
  <si>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</si>
  <si>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</si>
  <si>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</si>
  <si>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</si>
  <si>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</si>
  <si>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</si>
  <si>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</si>
  <si>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</si>
  <si>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</si>
  <si>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Receive image from Shopify widget
Validate image file type
Validate image can be decoded/read
Validate image resolution
Calculate image sharpness
Calculate image brightness/lighting
Define/configure blur rejection threshold
Define/configure low-light rejection threshold
Define/configure minimum resolution threshold</t>
  </si>
  <si>
    <t>Combine all image-quality checks
Reject image if any required quality check fails
Accept image only if all required checks pass</t>
  </si>
  <si>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</si>
  <si>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</si>
  <si>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r>
      <t xml:space="preserve">Store accepted image in </t>
    </r>
    <r>
      <rPr>
        <b/>
        <sz val="11"/>
        <color theme="1"/>
        <rFont val="Calibri"/>
        <family val="2"/>
        <scheme val="minor"/>
      </rPr>
      <t xml:space="preserve">skin_image
</t>
    </r>
    <r>
      <rPr>
        <sz val="11"/>
        <color theme="1"/>
        <rFont val="Calibri"/>
        <family val="2"/>
        <scheme val="minor"/>
      </rPr>
      <t xml:space="preserve">Associate image with current </t>
    </r>
    <r>
      <rPr>
        <b/>
        <sz val="11"/>
        <color theme="1"/>
        <rFont val="Calibri"/>
        <family val="2"/>
        <scheme val="minor"/>
      </rPr>
      <t xml:space="preserve">customer_session
</t>
    </r>
    <r>
      <rPr>
        <sz val="11"/>
        <color theme="1"/>
        <rFont val="Calibri"/>
        <family val="2"/>
        <scheme val="minor"/>
      </rPr>
      <t xml:space="preserve">Initiate asynchronous Visual AI image analysis
Redirect user to questionnaire </t>
    </r>
  </si>
  <si>
    <t>Define Visual AI response JSON schema based on image_detection.json
Define supported image-detectable concern IDs: SC0001–SC0019, SC1001–SC1009</t>
  </si>
  <si>
    <t>Define Visual AI system prompt
Define image-analysis instructions
Define skin-concern detection rules
Restrict output to supported concern IDs
Define no-concern behaviour
Require AI explanation for detected concerns
Require JSON-only response</t>
  </si>
  <si>
    <t>Send accepted image to Visual AI
Validate Visual AI response against JSON schema
Validate returned concern IDs
Handle duplicate concern IDs
Handle unsupported concern IDs
Handle empty/no-concern response
Handle malformed AI response
Handle AI/API failure</t>
  </si>
  <si>
    <t>Build recommendation response containing user full name
		Include image-detected primary skin concerns
		Display "Your skin looks perfect!" when no concern is detected
		Return recommendation response to Shopify widget
		Display user name
		Display primary skin concerns</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</si>
  <si>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</si>
  <si>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</si>
  <si>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Display questionnaire to user
Collect questionnaire answers
Validate required questionnaire fields
Store questionnaire answers in questionnaire_response
Associate questionnaire response with current customer_session
Submit questionnaire for LLM analysis</t>
  </si>
  <si>
    <t>Define questionnaire-analysis LLM prompt
Pass questionnaire JSON to LLM
Define concern extraction rules
Define skin-type extraction
Define sensitivity extraction
Define questionnaire-only concern handling
Validate LLM response
Handle malformed LLM response
Handle LLM/API failure
Store questionnaire detection result in session_skin_concern_detection
Store LLM-generated explanations
Store raw detection JSON</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</si>
  <si>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</si>
  <si>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Retrieve combined skin concerns
Retrieve relevant concern_benefit mappings
Retrieve active_benefit_score data
Calculate/rank active candidates
Retrieve applicable bases using questionnaire/session information
Apply age suitability
Apply skin-type suitability
Apply climate/location considerations
Apply acne-suitability requirements
Apply questionnaire preferences
Check base-active compatibility
Produce candidate bases
Produce candidate actives</t>
  </si>
  <si>
    <t>Pass candidate information and relevant RAG information to LLM
Generate recommended base
Generate recommended active ingredients
Generate explanation for selected base
Generate explanation for selected actives
Ensure selected actives address detected concerns
Ensure selected actives are compatible with selected base
Generate formulation information
Validate recommendation output</t>
  </si>
  <si>
    <t>Create recommendation_run
Store selected base in recommendation_base
Store selected actives in recommendation_active
Store recommendation explanations
Store recommendation scores/ranks where applicable
Store final formatted response in recommendation_output</t>
  </si>
  <si>
    <t>Build final response containing user full name
Include combined primary skin concerns
Include skin type
Include sensitivity level
Include recommended base
Include recommended active ingredients
Include active percentages/quantities
Include formulation weight
Include formulation explanation
Include formulation/recommendation ID
Return recommendation response to Shopify widget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</si>
  <si>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</si>
  <si>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Handle no-compatible-recommendation case
Handle LLM failure
Handle database failure
Handle invalid recommendation/formulation
Return appropriate frontend error response</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</si>
  <si>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</si>
  <si>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</si>
  <si>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Receive formulation ID from frontend
Retrieve saved formulation
Verify formulation belongs to the logged-in customer/session
Verify formulation is valid
Add recommended formulation/product to Shopify cart
Attach required formulation metadata
Return cart response</t>
  </si>
  <si>
    <t>Implement Add to Cart button
Disable button while request is processing
Call Add to Cart API
Display successful cart-addition state
Handle Add to Cart failure
Prevent duplicate submissions</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</si>
  <si>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</si>
  <si>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</si>
  <si>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</si>
  <si>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Rajanya</t>
  </si>
  <si>
    <t>Everyone</t>
  </si>
  <si>
    <t>Sayan</t>
  </si>
  <si>
    <t>Store Visual AI result in session_skin_concern_detection db table
Store detected concern IDs column 
Store AI-generated explanations column against concern IDs
Store raw detection JSON against concern IDs</t>
  </si>
  <si>
    <t>Azad, Sayan</t>
  </si>
  <si>
    <t>Priority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</si>
</sst>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3">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1" fillId="4" borderId="0" xfId="0" applyFont="1" applyFill="1" applyAlignment="1">
      <alignment horizontal="center"/>
    </xf>
    <xf numFmtId="0" fontId="0" fillId="0" borderId="0" xfId="0" applyAlignment="1">
      <alignment vertical="top"/>
    </xf>
    <xf numFmtId="0" fontId="0" fillId="0" borderId="5" xfId="0" applyBorder="1" applyAlignment="1">
      <alignment vertical="top"/>
    </xf>
    <xf numFmtId="0" fontId="1" fillId="3" borderId="0" xfId="0" applyFont="1" applyFill="1" applyAlignment="1">
      <alignment horizontal="center"/>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1" fillId="0" borderId="0" xfId="0" applyFont="1" applyAlignment="1">
      <alignment vertical="top" wrapText="1"/>
    </xf>
    <xf numFmtId="0" fontId="0" fillId="0" borderId="0" xfId="0" applyAlignment="1">
      <alignment vertical="top" wrapText="1"/>
    </xf>
    <xf numFmtId="0" fontId="1" fillId="0" borderId="0" xfId="0" applyFont="1" applyAlignment="1">
      <alignment vertical="center" wrapText="1"/>
    </xf>
    <xf numFmtId="2" fontId="1" fillId="0" borderId="0" xfId="0" applyNumberFormat="1" applyFont="1" applyAlignment="1">
      <alignment vertical="top" wrapText="1"/>
    </xf>
    <xf numFmtId="0" fontId="0" fillId="5" borderId="1" xfId="0" applyFill="1" applyBorder="1" applyAlignment="1">
      <alignment horizontal="center"/>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 Chart'!$C$1</c:f>
              <c:strCache>
                <c:ptCount val="1"/>
                <c:pt idx="0">
                  <c:v>Actual Story Points Left</c:v>
                </c:pt>
              </c:strCache>
            </c:strRef>
          </c:tx>
          <c:spPr>
            <a:ln w="28575" cap="rnd">
              <a:solidFill>
                <a:schemeClr val="accent1"/>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Chart'!$C$2:$C$11</c:f>
              <c:numCache>
                <c:formatCode>General</c:formatCode>
                <c:ptCount val="10"/>
                <c:pt idx="0">
                  <c:v>40</c:v>
                </c:pt>
                <c:pt idx="1">
                  <c:v>40</c:v>
                </c:pt>
                <c:pt idx="2">
                  <c:v>40</c:v>
                </c:pt>
                <c:pt idx="3">
                  <c:v>40</c:v>
                </c:pt>
                <c:pt idx="4">
                  <c:v>40</c:v>
                </c:pt>
                <c:pt idx="5">
                  <c:v>40</c:v>
                </c:pt>
                <c:pt idx="6">
                  <c:v>40</c:v>
                </c:pt>
                <c:pt idx="7">
                  <c:v>40</c:v>
                </c:pt>
                <c:pt idx="8">
                  <c:v>40</c:v>
                </c:pt>
              </c:numCache>
            </c:numRef>
          </c:val>
          <c:smooth val="0"/>
          <c:extLst>
            <c:ext xmlns:c16="http://schemas.microsoft.com/office/drawing/2014/chart" uri="{C3380CC4-5D6E-409C-BE32-E72D297353CC}">
              <c16:uniqueId val="{00000000-007D-47A5-8A1B-3F2D0F713771}"/>
            </c:ext>
          </c:extLst>
        </c:ser>
        <c:ser>
          <c:idx val="1"/>
          <c:order val="1"/>
          <c:tx>
            <c:strRef>
              <c:f>'Burndown Chart'!$D$1</c:f>
              <c:strCache>
                <c:ptCount val="1"/>
                <c:pt idx="0">
                  <c:v>Excepted Story Points Left</c:v>
                </c:pt>
              </c:strCache>
            </c:strRef>
          </c:tx>
          <c:spPr>
            <a:ln w="28575" cap="rnd">
              <a:solidFill>
                <a:schemeClr val="accent2"/>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Chart'!$D$2:$D$11</c:f>
              <c:numCache>
                <c:formatCode>General</c:formatCode>
                <c:ptCount val="10"/>
                <c:pt idx="0">
                  <c:v>40</c:v>
                </c:pt>
                <c:pt idx="1">
                  <c:v>35</c:v>
                </c:pt>
                <c:pt idx="2">
                  <c:v>30</c:v>
                </c:pt>
                <c:pt idx="3">
                  <c:v>25</c:v>
                </c:pt>
                <c:pt idx="4">
                  <c:v>20</c:v>
                </c:pt>
                <c:pt idx="5">
                  <c:v>15</c:v>
                </c:pt>
                <c:pt idx="6">
                  <c:v>10</c:v>
                </c:pt>
                <c:pt idx="7">
                  <c:v>5</c:v>
                </c:pt>
                <c:pt idx="8">
                  <c:v>0</c:v>
                </c:pt>
              </c:numCache>
            </c:numRef>
          </c:val>
          <c:smooth val="0"/>
          <c:extLst>
            <c:ext xmlns:c16="http://schemas.microsoft.com/office/drawing/2014/chart" uri="{C3380CC4-5D6E-409C-BE32-E72D297353CC}">
              <c16:uniqueId val="{00000001-007D-47A5-8A1B-3F2D0F713771}"/>
            </c:ext>
          </c:extLst>
        </c:ser>
        <c:ser>
          <c:idx val="2"/>
          <c:order val="2"/>
          <c:tx>
            <c:strRef>
              <c:f>'Burndown Chart'!$E$1</c:f>
              <c:strCache>
                <c:ptCount val="1"/>
                <c:pt idx="0">
                  <c:v>Story Points Done</c:v>
                </c:pt>
              </c:strCache>
            </c:strRef>
          </c:tx>
          <c:spPr>
            <a:ln w="28575" cap="rnd">
              <a:solidFill>
                <a:schemeClr val="accent3"/>
              </a:solidFill>
              <a:round/>
            </a:ln>
            <a:effectLst/>
          </c:spPr>
          <c:marker>
            <c:symbol val="none"/>
          </c:marker>
          <c:cat>
            <c:numRef>
              <c:f>'Burndown Chart'!$B$2:$B$11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'Burndown Chart'!$E$2:$E$11</c:f>
              <c:numCache>
                <c:formatCode>General</c:formatCode>
                <c:ptCount val="10"/>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99" zoomScaleNormal="115" workbookViewId="0">
      <pane ySplit="2" topLeftCell="A3" activePane="bottomLeft" state="frozen"/>
      <selection pane="bottomLeft" activeCell="F3" sqref="F3"/>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10"/>
      <c r="B1" s="39" t="s">
        <v>6</v>
      </c>
      <c r="C1" s="39"/>
      <c r="D1" s="39"/>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55</v>
      </c>
      <c r="D4" s="1" t="s">
        <v>230</v>
      </c>
      <c r="E4" s="9" t="s">
        <v>231</v>
      </c>
    </row>
    <row r="5" spans="1:6" s="2" customFormat="1" ht="294" customHeight="1">
      <c r="A5" s="1">
        <v>3</v>
      </c>
      <c r="B5" s="17" t="s">
        <v>10</v>
      </c>
      <c r="C5" s="9" t="s">
        <v>15</v>
      </c>
      <c r="D5" s="1" t="s">
        <v>52</v>
      </c>
      <c r="E5" s="9" t="s">
        <v>51</v>
      </c>
    </row>
    <row r="6" spans="1:6" ht="86.4">
      <c r="A6" s="15">
        <v>4</v>
      </c>
      <c r="B6" s="18" t="s">
        <v>10</v>
      </c>
      <c r="C6" s="9" t="s">
        <v>25</v>
      </c>
      <c r="D6" s="1" t="s">
        <v>27</v>
      </c>
      <c r="E6" s="9" t="s">
        <v>53</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7BB0-6771-4160-B371-AE490E8879B7}">
  <dimension ref="A1:J181"/>
  <sheetViews>
    <sheetView topLeftCell="A19" zoomScale="95" workbookViewId="0">
      <selection activeCell="D174" sqref="D174:D181"/>
    </sheetView>
  </sheetViews>
  <sheetFormatPr defaultRowHeight="14.4"/>
  <cols>
    <col min="2" max="2" width="11.88671875" bestFit="1" customWidth="1"/>
    <col min="3" max="3" width="14.5546875" bestFit="1" customWidth="1"/>
    <col min="4" max="4" width="74.77734375" bestFit="1" customWidth="1"/>
    <col min="5" max="5" width="11.5546875" bestFit="1" customWidth="1"/>
    <col min="6" max="6" width="11.109375" bestFit="1" customWidth="1"/>
    <col min="7" max="7" width="8.6640625" bestFit="1" customWidth="1"/>
    <col min="9" max="9" width="19.21875" bestFit="1" customWidth="1"/>
  </cols>
  <sheetData>
    <row r="1" spans="1:10">
      <c r="A1" s="36" t="s">
        <v>49</v>
      </c>
      <c r="B1" s="36"/>
      <c r="C1" s="36"/>
      <c r="D1" s="36"/>
      <c r="E1" s="36"/>
      <c r="F1" s="36"/>
      <c r="G1" s="36"/>
      <c r="H1" s="36"/>
      <c r="I1" s="36"/>
      <c r="J1" s="36"/>
    </row>
    <row r="2" spans="1:10" s="4" customFormat="1">
      <c r="A2" s="10" t="s">
        <v>5</v>
      </c>
      <c r="B2" s="10" t="s">
        <v>28</v>
      </c>
      <c r="C2" s="10" t="s">
        <v>0</v>
      </c>
      <c r="D2" s="10" t="s">
        <v>13</v>
      </c>
      <c r="E2" s="10" t="s">
        <v>54</v>
      </c>
      <c r="F2" s="10" t="s">
        <v>7</v>
      </c>
      <c r="G2" s="10" t="s">
        <v>4</v>
      </c>
      <c r="H2" s="10" t="s">
        <v>29</v>
      </c>
      <c r="I2" s="10" t="s">
        <v>3</v>
      </c>
      <c r="J2" s="10" t="s">
        <v>2</v>
      </c>
    </row>
    <row r="3" spans="1:10">
      <c r="A3" s="42">
        <v>1</v>
      </c>
      <c r="B3" s="43">
        <v>1</v>
      </c>
      <c r="C3" s="43">
        <v>1.1000000000000001</v>
      </c>
      <c r="D3" s="7" t="s">
        <v>60</v>
      </c>
      <c r="E3" s="40" t="s">
        <v>19</v>
      </c>
      <c r="F3" s="40" cm="1">
        <f t="array" ref="F3">_xlfn.SWITCH(E3,"XS",1,"S",2,"M",3,"L",5,"XL",8,"XXL",13,"XXXL",21,"")</f>
        <v>3</v>
      </c>
    </row>
    <row r="4" spans="1:10">
      <c r="A4" s="42"/>
      <c r="B4" s="43"/>
      <c r="C4" s="43"/>
      <c r="D4" s="7" t="s">
        <v>61</v>
      </c>
      <c r="E4" s="40"/>
      <c r="F4" s="40"/>
    </row>
    <row r="5" spans="1:10">
      <c r="A5" s="42"/>
      <c r="B5" s="43"/>
      <c r="C5" s="43"/>
      <c r="D5" s="7" t="s">
        <v>30</v>
      </c>
      <c r="E5" s="40"/>
      <c r="F5" s="40"/>
    </row>
    <row r="6" spans="1:10">
      <c r="A6" s="42"/>
      <c r="B6" s="43"/>
      <c r="C6" s="43"/>
      <c r="D6" s="7" t="s">
        <v>31</v>
      </c>
      <c r="E6" s="40"/>
      <c r="F6" s="40"/>
    </row>
    <row r="7" spans="1:10">
      <c r="A7" s="42"/>
      <c r="B7" s="43"/>
      <c r="C7" s="43"/>
      <c r="D7" s="7" t="s">
        <v>62</v>
      </c>
      <c r="E7" s="40"/>
      <c r="F7" s="40"/>
    </row>
    <row r="8" spans="1:10">
      <c r="A8" s="42"/>
      <c r="B8" s="43"/>
      <c r="C8" s="43"/>
      <c r="D8" s="7" t="s">
        <v>63</v>
      </c>
      <c r="E8" s="40"/>
      <c r="F8" s="40"/>
    </row>
    <row r="9" spans="1:10">
      <c r="A9" s="42"/>
      <c r="B9" s="43"/>
      <c r="C9" s="43"/>
      <c r="D9" s="7" t="s">
        <v>64</v>
      </c>
      <c r="E9" s="40"/>
      <c r="F9" s="40"/>
    </row>
    <row r="10" spans="1:10">
      <c r="A10" s="42"/>
      <c r="B10" s="43"/>
      <c r="C10" s="43"/>
      <c r="D10" s="7" t="s">
        <v>65</v>
      </c>
      <c r="E10" s="40"/>
      <c r="F10" s="40"/>
    </row>
    <row r="11" spans="1:10">
      <c r="A11" s="42"/>
      <c r="B11" s="43"/>
      <c r="C11" s="43"/>
      <c r="D11" s="7" t="s">
        <v>66</v>
      </c>
      <c r="E11" s="40"/>
      <c r="F11" s="40"/>
    </row>
    <row r="12" spans="1:10">
      <c r="A12" s="42"/>
      <c r="B12" s="43"/>
      <c r="C12" s="43">
        <v>1.2</v>
      </c>
      <c r="D12" s="7" t="s">
        <v>67</v>
      </c>
      <c r="E12" s="40" t="s">
        <v>19</v>
      </c>
      <c r="F12" s="40" cm="1">
        <f t="array" ref="F12">_xlfn.SWITCH(E3,"XS",1,"S",2,"M",3,"L",5,"XL",8,"XXL",13,"XXXL",21,"")</f>
        <v>3</v>
      </c>
    </row>
    <row r="13" spans="1:10">
      <c r="A13" s="42"/>
      <c r="B13" s="43"/>
      <c r="C13" s="43"/>
      <c r="D13" s="7" t="s">
        <v>68</v>
      </c>
      <c r="E13" s="40"/>
      <c r="F13" s="40"/>
    </row>
    <row r="14" spans="1:10">
      <c r="A14" s="42"/>
      <c r="B14" s="43"/>
      <c r="C14" s="43"/>
      <c r="D14" s="7" t="s">
        <v>69</v>
      </c>
      <c r="E14" s="40"/>
      <c r="F14" s="40"/>
    </row>
    <row r="15" spans="1:10">
      <c r="A15" s="42"/>
      <c r="B15" s="43"/>
      <c r="C15" s="43">
        <v>1.3</v>
      </c>
      <c r="D15" s="7" t="s">
        <v>70</v>
      </c>
      <c r="E15" s="40" t="s">
        <v>17</v>
      </c>
      <c r="F15" s="40"/>
    </row>
    <row r="16" spans="1:10">
      <c r="A16" s="42"/>
      <c r="B16" s="43"/>
      <c r="C16" s="43"/>
      <c r="D16" s="7" t="s">
        <v>71</v>
      </c>
      <c r="E16" s="40"/>
      <c r="F16" s="40"/>
    </row>
    <row r="17" spans="1:7">
      <c r="A17" s="42"/>
      <c r="B17" s="43"/>
      <c r="C17" s="43"/>
      <c r="D17" s="7" t="s">
        <v>72</v>
      </c>
      <c r="E17" s="40"/>
      <c r="F17" s="40"/>
    </row>
    <row r="18" spans="1:7">
      <c r="A18" s="42"/>
      <c r="B18" s="43"/>
      <c r="C18" s="43">
        <v>1.4</v>
      </c>
      <c r="D18" s="7" t="s">
        <v>73</v>
      </c>
      <c r="E18" s="40" t="s">
        <v>20</v>
      </c>
      <c r="F18" s="40"/>
    </row>
    <row r="19" spans="1:7">
      <c r="A19" s="42"/>
      <c r="B19" s="43"/>
      <c r="C19" s="43"/>
      <c r="D19" s="7" t="s">
        <v>74</v>
      </c>
      <c r="E19" s="40"/>
      <c r="F19" s="40"/>
    </row>
    <row r="20" spans="1:7">
      <c r="A20" s="42"/>
      <c r="B20" s="43"/>
      <c r="C20" s="43"/>
      <c r="D20" s="7" t="s">
        <v>75</v>
      </c>
      <c r="E20" s="40"/>
      <c r="F20" s="40"/>
    </row>
    <row r="21" spans="1:7">
      <c r="A21" s="42"/>
      <c r="B21" s="43"/>
      <c r="C21" s="43"/>
      <c r="D21" s="7" t="s">
        <v>76</v>
      </c>
      <c r="E21" s="40"/>
      <c r="F21" s="40"/>
    </row>
    <row r="22" spans="1:7">
      <c r="A22" s="42"/>
      <c r="B22" s="43"/>
      <c r="C22" s="43"/>
      <c r="D22" s="7" t="s">
        <v>77</v>
      </c>
      <c r="E22" s="40"/>
      <c r="F22" s="40"/>
    </row>
    <row r="23" spans="1:7">
      <c r="A23" s="42"/>
      <c r="B23" s="43"/>
      <c r="C23" s="43"/>
      <c r="D23" s="7" t="s">
        <v>78</v>
      </c>
      <c r="E23" s="40"/>
      <c r="F23" s="40"/>
    </row>
    <row r="24" spans="1:7">
      <c r="A24" s="42"/>
      <c r="B24" s="43"/>
      <c r="C24" s="43"/>
      <c r="D24" s="7" t="s">
        <v>79</v>
      </c>
      <c r="E24" s="40"/>
      <c r="F24" s="40"/>
    </row>
    <row r="25" spans="1:7">
      <c r="A25" s="42"/>
      <c r="B25" s="43"/>
      <c r="C25" s="43"/>
      <c r="D25" s="7" t="s">
        <v>56</v>
      </c>
      <c r="E25" s="40"/>
      <c r="F25" s="40"/>
    </row>
    <row r="26" spans="1:7">
      <c r="A26" s="42"/>
      <c r="B26" s="44">
        <v>2</v>
      </c>
      <c r="C26" s="43">
        <v>2.1</v>
      </c>
      <c r="D26" s="7" t="s">
        <v>215</v>
      </c>
      <c r="E26" s="41" t="s">
        <v>17</v>
      </c>
      <c r="F26" s="40"/>
    </row>
    <row r="27" spans="1:7">
      <c r="A27" s="42"/>
      <c r="B27" s="44"/>
      <c r="C27" s="43"/>
      <c r="D27" s="7" t="s">
        <v>213</v>
      </c>
      <c r="E27" s="41"/>
      <c r="F27" s="40"/>
    </row>
    <row r="28" spans="1:7">
      <c r="A28" s="42"/>
      <c r="B28" s="44"/>
      <c r="C28" s="43"/>
      <c r="D28" s="7" t="s">
        <v>202</v>
      </c>
      <c r="E28" s="41"/>
      <c r="F28" s="40"/>
    </row>
    <row r="29" spans="1:7">
      <c r="A29" s="42"/>
      <c r="B29" s="44"/>
      <c r="C29" s="45">
        <v>2.2000000000000002</v>
      </c>
      <c r="D29" s="7" t="s">
        <v>80</v>
      </c>
      <c r="E29" s="40" t="s">
        <v>17</v>
      </c>
      <c r="F29" s="40"/>
    </row>
    <row r="30" spans="1:7">
      <c r="A30" s="42"/>
      <c r="B30" s="44"/>
      <c r="C30" s="45"/>
      <c r="D30" s="7" t="s">
        <v>81</v>
      </c>
      <c r="E30" s="40"/>
      <c r="F30" s="40"/>
    </row>
    <row r="31" spans="1:7">
      <c r="A31" s="42"/>
      <c r="B31" s="44"/>
      <c r="C31" s="43">
        <v>2.2999999999999998</v>
      </c>
      <c r="D31" s="7" t="s">
        <v>82</v>
      </c>
      <c r="E31" s="40" t="s">
        <v>21</v>
      </c>
      <c r="F31" s="40"/>
      <c r="G31" s="40" t="s">
        <v>214</v>
      </c>
    </row>
    <row r="32" spans="1:7">
      <c r="A32" s="42"/>
      <c r="B32" s="44"/>
      <c r="C32" s="43"/>
      <c r="D32" s="7" t="s">
        <v>83</v>
      </c>
      <c r="E32" s="40"/>
      <c r="F32" s="40"/>
      <c r="G32" s="40"/>
    </row>
    <row r="33" spans="1:7">
      <c r="A33" s="42"/>
      <c r="B33" s="44"/>
      <c r="C33" s="43"/>
      <c r="D33" s="7" t="s">
        <v>84</v>
      </c>
      <c r="E33" s="40"/>
      <c r="F33" s="40"/>
      <c r="G33" s="40"/>
    </row>
    <row r="34" spans="1:7">
      <c r="A34" s="42"/>
      <c r="B34" s="44"/>
      <c r="C34" s="43"/>
      <c r="D34" s="7" t="s">
        <v>85</v>
      </c>
      <c r="E34" s="40"/>
      <c r="F34" s="40"/>
      <c r="G34" s="40"/>
    </row>
    <row r="35" spans="1:7">
      <c r="A35" s="42"/>
      <c r="B35" s="44"/>
      <c r="C35" s="43"/>
      <c r="D35" s="7" t="s">
        <v>86</v>
      </c>
      <c r="E35" s="40"/>
      <c r="F35" s="40"/>
      <c r="G35" s="40"/>
    </row>
    <row r="36" spans="1:7">
      <c r="A36" s="42"/>
      <c r="B36" s="44"/>
      <c r="C36" s="43"/>
      <c r="D36" s="7" t="s">
        <v>87</v>
      </c>
      <c r="E36" s="40"/>
      <c r="F36" s="40"/>
      <c r="G36" s="40"/>
    </row>
    <row r="37" spans="1:7">
      <c r="A37" s="42"/>
      <c r="B37" s="44"/>
      <c r="C37" s="43"/>
      <c r="D37" s="7" t="s">
        <v>88</v>
      </c>
      <c r="E37" s="40"/>
      <c r="F37" s="40"/>
      <c r="G37" s="40"/>
    </row>
    <row r="38" spans="1:7">
      <c r="A38" s="42"/>
      <c r="B38" s="44"/>
      <c r="C38" s="43">
        <v>2.4</v>
      </c>
      <c r="D38" s="7" t="s">
        <v>89</v>
      </c>
      <c r="E38" s="40" t="s">
        <v>20</v>
      </c>
      <c r="F38" s="40"/>
    </row>
    <row r="39" spans="1:7">
      <c r="A39" s="42"/>
      <c r="B39" s="44"/>
      <c r="C39" s="43"/>
      <c r="D39" s="7" t="s">
        <v>90</v>
      </c>
      <c r="E39" s="40"/>
      <c r="F39" s="40"/>
    </row>
    <row r="40" spans="1:7">
      <c r="A40" s="42"/>
      <c r="B40" s="44"/>
      <c r="C40" s="43"/>
      <c r="D40" s="7" t="s">
        <v>91</v>
      </c>
      <c r="E40" s="40"/>
      <c r="F40" s="40"/>
    </row>
    <row r="41" spans="1:7">
      <c r="A41" s="42"/>
      <c r="B41" s="44"/>
      <c r="C41" s="43"/>
      <c r="D41" s="7" t="s">
        <v>33</v>
      </c>
      <c r="E41" s="40"/>
      <c r="F41" s="40"/>
    </row>
    <row r="42" spans="1:7">
      <c r="A42" s="42"/>
      <c r="B42" s="44"/>
      <c r="C42" s="43"/>
      <c r="D42" s="7" t="s">
        <v>92</v>
      </c>
      <c r="E42" s="40"/>
      <c r="F42" s="40"/>
    </row>
    <row r="43" spans="1:7">
      <c r="A43" s="42"/>
      <c r="B43" s="44"/>
      <c r="C43" s="43"/>
      <c r="D43" s="7" t="s">
        <v>93</v>
      </c>
      <c r="E43" s="40"/>
      <c r="F43" s="40"/>
    </row>
    <row r="44" spans="1:7">
      <c r="A44" s="42"/>
      <c r="B44" s="44"/>
      <c r="C44" s="43"/>
      <c r="D44" s="7" t="s">
        <v>94</v>
      </c>
      <c r="E44" s="40"/>
      <c r="F44" s="40"/>
    </row>
    <row r="45" spans="1:7">
      <c r="A45" s="42"/>
      <c r="B45" s="44"/>
      <c r="C45" s="43"/>
      <c r="D45" s="7" t="s">
        <v>95</v>
      </c>
      <c r="E45" s="40"/>
      <c r="F45" s="40"/>
    </row>
    <row r="46" spans="1:7">
      <c r="A46" s="42"/>
      <c r="B46" s="44"/>
      <c r="C46" s="43">
        <v>2.5</v>
      </c>
      <c r="D46" s="7" t="s">
        <v>203</v>
      </c>
      <c r="E46" s="41" t="s">
        <v>18</v>
      </c>
      <c r="F46" s="40"/>
    </row>
    <row r="47" spans="1:7">
      <c r="A47" s="42"/>
      <c r="B47" s="44"/>
      <c r="C47" s="43"/>
      <c r="D47" s="7" t="s">
        <v>96</v>
      </c>
      <c r="E47" s="41"/>
      <c r="F47" s="40"/>
    </row>
    <row r="48" spans="1:7">
      <c r="A48" s="42"/>
      <c r="B48" s="44"/>
      <c r="C48" s="43"/>
      <c r="D48" s="7" t="s">
        <v>97</v>
      </c>
      <c r="E48" s="41"/>
      <c r="F48" s="40"/>
    </row>
    <row r="49" spans="1:6">
      <c r="A49" s="42"/>
      <c r="B49" s="44"/>
      <c r="C49" s="43"/>
      <c r="D49" s="7" t="s">
        <v>98</v>
      </c>
      <c r="E49" s="41"/>
      <c r="F49" s="40"/>
    </row>
    <row r="50" spans="1:6">
      <c r="A50" s="42"/>
      <c r="B50" s="44"/>
      <c r="C50" s="43">
        <v>2.7</v>
      </c>
      <c r="D50" s="7" t="s">
        <v>99</v>
      </c>
      <c r="E50" s="40" t="s">
        <v>20</v>
      </c>
      <c r="F50" s="40"/>
    </row>
    <row r="51" spans="1:6">
      <c r="A51" s="42"/>
      <c r="B51" s="44"/>
      <c r="C51" s="43"/>
      <c r="D51" s="7" t="s">
        <v>100</v>
      </c>
      <c r="E51" s="40"/>
      <c r="F51" s="40"/>
    </row>
    <row r="52" spans="1:6">
      <c r="A52" s="42"/>
      <c r="B52" s="44"/>
      <c r="C52" s="43"/>
      <c r="D52" s="7" t="s">
        <v>101</v>
      </c>
      <c r="E52" s="40"/>
      <c r="F52" s="40"/>
    </row>
    <row r="53" spans="1:6">
      <c r="A53" s="42"/>
      <c r="B53" s="44"/>
      <c r="C53" s="43"/>
      <c r="D53" s="7" t="s">
        <v>102</v>
      </c>
      <c r="E53" s="40"/>
      <c r="F53" s="40"/>
    </row>
    <row r="54" spans="1:6">
      <c r="A54" s="42"/>
      <c r="B54" s="44"/>
      <c r="C54" s="43"/>
      <c r="D54" s="7" t="s">
        <v>103</v>
      </c>
      <c r="E54" s="40"/>
      <c r="F54" s="40"/>
    </row>
    <row r="55" spans="1:6">
      <c r="A55" s="42"/>
      <c r="B55" s="44"/>
      <c r="C55" s="43"/>
      <c r="D55" s="7" t="s">
        <v>104</v>
      </c>
      <c r="E55" s="40"/>
      <c r="F55" s="40"/>
    </row>
    <row r="56" spans="1:6">
      <c r="A56" s="42"/>
      <c r="B56" s="44"/>
      <c r="C56" s="43"/>
      <c r="D56" s="7" t="s">
        <v>105</v>
      </c>
      <c r="E56" s="40"/>
      <c r="F56" s="40"/>
    </row>
    <row r="57" spans="1:6">
      <c r="A57" s="42"/>
      <c r="B57" s="44"/>
      <c r="C57" s="43"/>
      <c r="D57" s="7" t="s">
        <v>106</v>
      </c>
      <c r="E57" s="40"/>
      <c r="F57" s="40"/>
    </row>
    <row r="58" spans="1:6">
      <c r="A58" s="42"/>
      <c r="B58" s="44"/>
      <c r="C58" s="43"/>
      <c r="D58" s="7" t="s">
        <v>57</v>
      </c>
      <c r="E58" s="40"/>
      <c r="F58" s="40"/>
    </row>
    <row r="59" spans="1:6">
      <c r="A59" s="20"/>
      <c r="B59" s="43">
        <v>3</v>
      </c>
      <c r="C59" s="43">
        <v>3.1</v>
      </c>
      <c r="D59" s="7" t="s">
        <v>107</v>
      </c>
    </row>
    <row r="60" spans="1:6">
      <c r="A60" s="19"/>
      <c r="B60" s="43"/>
      <c r="C60" s="43"/>
      <c r="D60" s="7" t="s">
        <v>108</v>
      </c>
    </row>
    <row r="61" spans="1:6">
      <c r="A61" s="19"/>
      <c r="B61" s="43"/>
      <c r="C61" s="43"/>
      <c r="D61" s="7" t="s">
        <v>109</v>
      </c>
    </row>
    <row r="62" spans="1:6">
      <c r="A62" s="19"/>
      <c r="B62" s="43"/>
      <c r="C62" s="43"/>
      <c r="D62" s="7" t="s">
        <v>204</v>
      </c>
    </row>
    <row r="63" spans="1:6">
      <c r="A63" s="19"/>
      <c r="B63" s="43"/>
      <c r="C63" s="43"/>
      <c r="D63" s="7" t="s">
        <v>205</v>
      </c>
    </row>
    <row r="64" spans="1:6">
      <c r="A64" s="19"/>
      <c r="B64" s="43"/>
      <c r="C64" s="43"/>
      <c r="D64" s="7" t="s">
        <v>110</v>
      </c>
    </row>
    <row r="65" spans="1:4">
      <c r="A65" s="19"/>
      <c r="B65" s="43"/>
      <c r="C65" s="43">
        <v>3.2</v>
      </c>
      <c r="D65" s="7" t="s">
        <v>111</v>
      </c>
    </row>
    <row r="66" spans="1:4">
      <c r="A66" s="19"/>
      <c r="B66" s="43"/>
      <c r="C66" s="43"/>
      <c r="D66" s="7" t="s">
        <v>112</v>
      </c>
    </row>
    <row r="67" spans="1:4">
      <c r="A67" s="19"/>
      <c r="B67" s="43"/>
      <c r="C67" s="43"/>
      <c r="D67" s="7" t="s">
        <v>34</v>
      </c>
    </row>
    <row r="68" spans="1:4">
      <c r="A68" s="19"/>
      <c r="B68" s="43"/>
      <c r="C68" s="43"/>
      <c r="D68" s="7" t="s">
        <v>113</v>
      </c>
    </row>
    <row r="69" spans="1:4">
      <c r="A69" s="19"/>
      <c r="B69" s="43"/>
      <c r="C69" s="43"/>
      <c r="D69" s="7" t="s">
        <v>114</v>
      </c>
    </row>
    <row r="70" spans="1:4">
      <c r="A70" s="19"/>
      <c r="B70" s="43"/>
      <c r="C70" s="43"/>
      <c r="D70" s="7" t="s">
        <v>115</v>
      </c>
    </row>
    <row r="71" spans="1:4">
      <c r="A71" s="19"/>
      <c r="B71" s="43"/>
      <c r="C71" s="43"/>
      <c r="D71" s="7" t="s">
        <v>116</v>
      </c>
    </row>
    <row r="72" spans="1:4">
      <c r="A72" s="19"/>
      <c r="B72" s="43"/>
      <c r="C72" s="43"/>
      <c r="D72" s="7" t="s">
        <v>32</v>
      </c>
    </row>
    <row r="73" spans="1:4">
      <c r="A73" s="19"/>
      <c r="B73" s="43"/>
      <c r="C73" s="43"/>
      <c r="D73" s="7" t="s">
        <v>117</v>
      </c>
    </row>
    <row r="74" spans="1:4">
      <c r="A74" s="19"/>
      <c r="B74" s="43"/>
      <c r="C74" s="43"/>
      <c r="D74" s="7" t="s">
        <v>206</v>
      </c>
    </row>
    <row r="75" spans="1:4">
      <c r="A75" s="19"/>
      <c r="B75" s="43"/>
      <c r="C75" s="43"/>
      <c r="D75" s="7" t="s">
        <v>118</v>
      </c>
    </row>
    <row r="76" spans="1:4">
      <c r="A76" s="19"/>
      <c r="B76" s="43"/>
      <c r="C76" s="43"/>
      <c r="D76" s="7" t="s">
        <v>98</v>
      </c>
    </row>
    <row r="77" spans="1:4">
      <c r="A77" s="19"/>
      <c r="B77" s="43"/>
      <c r="C77" s="43">
        <v>3.3</v>
      </c>
      <c r="D77" s="7" t="s">
        <v>119</v>
      </c>
    </row>
    <row r="78" spans="1:4">
      <c r="A78" s="19"/>
      <c r="B78" s="43"/>
      <c r="C78" s="43"/>
      <c r="D78" s="7" t="s">
        <v>120</v>
      </c>
    </row>
    <row r="79" spans="1:4">
      <c r="A79" s="19"/>
      <c r="B79" s="43"/>
      <c r="C79" s="43"/>
      <c r="D79" s="7" t="s">
        <v>121</v>
      </c>
    </row>
    <row r="80" spans="1:4">
      <c r="A80" s="19"/>
      <c r="B80" s="43"/>
      <c r="C80" s="43"/>
      <c r="D80" s="7" t="s">
        <v>122</v>
      </c>
    </row>
    <row r="81" spans="1:4">
      <c r="A81" s="19"/>
      <c r="B81" s="43"/>
      <c r="C81" s="43"/>
      <c r="D81" s="7" t="s">
        <v>123</v>
      </c>
    </row>
    <row r="82" spans="1:4">
      <c r="A82" s="19"/>
      <c r="B82" s="43"/>
      <c r="C82" s="43"/>
      <c r="D82" s="7" t="s">
        <v>207</v>
      </c>
    </row>
    <row r="83" spans="1:4">
      <c r="A83" s="19"/>
      <c r="B83" s="43"/>
      <c r="C83" s="43"/>
      <c r="D83" s="7" t="s">
        <v>124</v>
      </c>
    </row>
    <row r="84" spans="1:4">
      <c r="A84" s="19"/>
      <c r="B84" s="43"/>
      <c r="C84" s="43"/>
      <c r="D84" s="7" t="s">
        <v>125</v>
      </c>
    </row>
    <row r="85" spans="1:4">
      <c r="A85" s="19"/>
      <c r="B85" s="43"/>
      <c r="C85" s="43"/>
      <c r="D85" s="7" t="s">
        <v>126</v>
      </c>
    </row>
    <row r="86" spans="1:4">
      <c r="A86" s="19"/>
      <c r="B86" s="43"/>
      <c r="C86" s="43"/>
      <c r="D86" s="7" t="s">
        <v>127</v>
      </c>
    </row>
    <row r="87" spans="1:4">
      <c r="A87" s="19"/>
      <c r="B87" s="43"/>
      <c r="C87" s="43"/>
      <c r="D87" s="7" t="s">
        <v>128</v>
      </c>
    </row>
    <row r="88" spans="1:4">
      <c r="A88" s="19"/>
      <c r="B88" s="43"/>
      <c r="C88" s="43">
        <v>3.4</v>
      </c>
      <c r="D88" s="15" t="s">
        <v>129</v>
      </c>
    </row>
    <row r="89" spans="1:4">
      <c r="A89" s="19"/>
      <c r="B89" s="43"/>
      <c r="C89" s="43"/>
      <c r="D89" s="7" t="s">
        <v>208</v>
      </c>
    </row>
    <row r="90" spans="1:4">
      <c r="A90" s="19"/>
      <c r="B90" s="43"/>
      <c r="C90" s="43"/>
      <c r="D90" s="7" t="s">
        <v>130</v>
      </c>
    </row>
    <row r="91" spans="1:4">
      <c r="A91" s="19"/>
      <c r="B91" s="43"/>
      <c r="C91" s="43"/>
      <c r="D91" s="7" t="s">
        <v>131</v>
      </c>
    </row>
    <row r="92" spans="1:4">
      <c r="A92" s="19"/>
      <c r="B92" s="43"/>
      <c r="C92" s="43"/>
      <c r="D92" s="7" t="s">
        <v>132</v>
      </c>
    </row>
    <row r="93" spans="1:4">
      <c r="A93" s="19"/>
      <c r="B93" s="43"/>
      <c r="C93" s="43"/>
      <c r="D93" s="7" t="s">
        <v>133</v>
      </c>
    </row>
    <row r="94" spans="1:4">
      <c r="A94" s="19"/>
      <c r="B94" s="43"/>
      <c r="C94" s="43"/>
      <c r="D94" s="7" t="s">
        <v>134</v>
      </c>
    </row>
    <row r="95" spans="1:4">
      <c r="A95" s="19"/>
      <c r="B95" s="43"/>
      <c r="C95" s="43"/>
      <c r="D95" s="7" t="s">
        <v>135</v>
      </c>
    </row>
    <row r="96" spans="1:4">
      <c r="A96" s="19"/>
      <c r="B96" s="43"/>
      <c r="C96" s="43"/>
      <c r="D96" s="7" t="s">
        <v>136</v>
      </c>
    </row>
    <row r="97" spans="1:4">
      <c r="A97" s="19"/>
      <c r="B97" s="43"/>
      <c r="C97" s="43"/>
      <c r="D97" s="7" t="s">
        <v>137</v>
      </c>
    </row>
    <row r="98" spans="1:4">
      <c r="A98" s="19"/>
      <c r="B98" s="43"/>
      <c r="C98" s="43"/>
      <c r="D98" s="7" t="s">
        <v>138</v>
      </c>
    </row>
    <row r="99" spans="1:4">
      <c r="A99" s="19"/>
      <c r="B99" s="43"/>
      <c r="C99" s="43"/>
      <c r="D99" s="7" t="s">
        <v>139</v>
      </c>
    </row>
    <row r="100" spans="1:4">
      <c r="A100" s="19"/>
      <c r="B100" s="43"/>
      <c r="C100" s="43"/>
      <c r="D100" s="7" t="s">
        <v>140</v>
      </c>
    </row>
    <row r="101" spans="1:4">
      <c r="A101" s="19"/>
      <c r="B101" s="43"/>
      <c r="C101" s="43">
        <v>3.5</v>
      </c>
      <c r="D101" s="11" t="s">
        <v>141</v>
      </c>
    </row>
    <row r="102" spans="1:4">
      <c r="A102" s="19"/>
      <c r="B102" s="43"/>
      <c r="C102" s="43"/>
      <c r="D102" s="7" t="s">
        <v>142</v>
      </c>
    </row>
    <row r="103" spans="1:4">
      <c r="A103" s="19"/>
      <c r="B103" s="43"/>
      <c r="C103" s="43"/>
      <c r="D103" s="7" t="s">
        <v>143</v>
      </c>
    </row>
    <row r="104" spans="1:4">
      <c r="A104" s="19"/>
      <c r="B104" s="43"/>
      <c r="C104" s="43"/>
      <c r="D104" s="7" t="s">
        <v>144</v>
      </c>
    </row>
    <row r="105" spans="1:4">
      <c r="A105" s="19"/>
      <c r="B105" s="43"/>
      <c r="C105" s="43"/>
      <c r="D105" s="7" t="s">
        <v>145</v>
      </c>
    </row>
    <row r="106" spans="1:4">
      <c r="A106" s="19"/>
      <c r="B106" s="43"/>
      <c r="C106" s="43"/>
      <c r="D106" s="7" t="s">
        <v>146</v>
      </c>
    </row>
    <row r="107" spans="1:4">
      <c r="A107" s="19"/>
      <c r="B107" s="43"/>
      <c r="C107" s="43"/>
      <c r="D107" s="7" t="s">
        <v>147</v>
      </c>
    </row>
    <row r="108" spans="1:4">
      <c r="A108" s="19"/>
      <c r="B108" s="43"/>
      <c r="C108" s="43"/>
      <c r="D108" s="7" t="s">
        <v>148</v>
      </c>
    </row>
    <row r="109" spans="1:4">
      <c r="A109" s="19"/>
      <c r="B109" s="43"/>
      <c r="C109" s="43"/>
      <c r="D109" s="7" t="s">
        <v>149</v>
      </c>
    </row>
    <row r="110" spans="1:4">
      <c r="A110" s="19"/>
      <c r="B110" s="43"/>
      <c r="C110" s="43">
        <v>3.6</v>
      </c>
      <c r="D110" s="7" t="s">
        <v>209</v>
      </c>
    </row>
    <row r="111" spans="1:4">
      <c r="A111" s="19"/>
      <c r="B111" s="43"/>
      <c r="C111" s="43"/>
      <c r="D111" s="7" t="s">
        <v>210</v>
      </c>
    </row>
    <row r="112" spans="1:4">
      <c r="A112" s="19"/>
      <c r="B112" s="43"/>
      <c r="C112" s="43"/>
      <c r="D112" s="7" t="s">
        <v>211</v>
      </c>
    </row>
    <row r="113" spans="1:4">
      <c r="A113" s="19"/>
      <c r="B113" s="43"/>
      <c r="C113" s="43"/>
      <c r="D113" s="7" t="s">
        <v>150</v>
      </c>
    </row>
    <row r="114" spans="1:4">
      <c r="A114" s="19"/>
      <c r="B114" s="43"/>
      <c r="C114" s="43"/>
      <c r="D114" s="7" t="s">
        <v>151</v>
      </c>
    </row>
    <row r="115" spans="1:4">
      <c r="A115" s="19"/>
      <c r="B115" s="43"/>
      <c r="C115" s="43"/>
      <c r="D115" s="7" t="s">
        <v>212</v>
      </c>
    </row>
    <row r="116" spans="1:4">
      <c r="A116" s="19"/>
      <c r="B116" s="43"/>
      <c r="C116" s="43">
        <v>3.7</v>
      </c>
      <c r="D116" s="7" t="s">
        <v>152</v>
      </c>
    </row>
    <row r="117" spans="1:4">
      <c r="A117" s="19"/>
      <c r="B117" s="43"/>
      <c r="C117" s="43"/>
      <c r="D117" s="7" t="s">
        <v>153</v>
      </c>
    </row>
    <row r="118" spans="1:4">
      <c r="A118" s="19"/>
      <c r="B118" s="43"/>
      <c r="C118" s="43"/>
      <c r="D118" s="7" t="s">
        <v>154</v>
      </c>
    </row>
    <row r="119" spans="1:4">
      <c r="A119" s="19"/>
      <c r="B119" s="43"/>
      <c r="C119" s="43"/>
      <c r="D119" s="7" t="s">
        <v>155</v>
      </c>
    </row>
    <row r="120" spans="1:4">
      <c r="A120" s="19"/>
      <c r="B120" s="43"/>
      <c r="C120" s="43"/>
      <c r="D120" s="7" t="s">
        <v>156</v>
      </c>
    </row>
    <row r="121" spans="1:4">
      <c r="A121" s="19"/>
      <c r="B121" s="43"/>
      <c r="C121" s="43"/>
      <c r="D121" s="7" t="s">
        <v>157</v>
      </c>
    </row>
    <row r="122" spans="1:4">
      <c r="A122" s="19"/>
      <c r="B122" s="43"/>
      <c r="C122" s="43"/>
      <c r="D122" s="7" t="s">
        <v>158</v>
      </c>
    </row>
    <row r="123" spans="1:4">
      <c r="A123" s="19"/>
      <c r="B123" s="43"/>
      <c r="C123" s="43"/>
      <c r="D123" s="7" t="s">
        <v>159</v>
      </c>
    </row>
    <row r="124" spans="1:4">
      <c r="A124" s="19"/>
      <c r="B124" s="43"/>
      <c r="C124" s="43"/>
      <c r="D124" s="7" t="s">
        <v>160</v>
      </c>
    </row>
    <row r="125" spans="1:4">
      <c r="A125" s="19"/>
      <c r="B125" s="43"/>
      <c r="C125" s="43"/>
      <c r="D125" s="7" t="s">
        <v>161</v>
      </c>
    </row>
    <row r="126" spans="1:4">
      <c r="A126" s="19"/>
      <c r="B126" s="43"/>
      <c r="C126" s="43"/>
      <c r="D126" s="7" t="s">
        <v>162</v>
      </c>
    </row>
    <row r="127" spans="1:4">
      <c r="A127" s="19"/>
      <c r="B127" s="43"/>
      <c r="C127" s="43">
        <v>3.8</v>
      </c>
      <c r="D127" s="7" t="s">
        <v>36</v>
      </c>
    </row>
    <row r="128" spans="1:4">
      <c r="A128" s="19"/>
      <c r="B128" s="43"/>
      <c r="C128" s="43"/>
      <c r="D128" s="7" t="s">
        <v>37</v>
      </c>
    </row>
    <row r="129" spans="1:4">
      <c r="A129" s="19"/>
      <c r="B129" s="43"/>
      <c r="C129" s="43"/>
      <c r="D129" s="7" t="s">
        <v>163</v>
      </c>
    </row>
    <row r="130" spans="1:4">
      <c r="A130" s="19"/>
      <c r="B130" s="43"/>
      <c r="C130" s="43"/>
      <c r="D130" s="7" t="s">
        <v>38</v>
      </c>
    </row>
    <row r="131" spans="1:4">
      <c r="A131" s="19"/>
      <c r="B131" s="43"/>
      <c r="C131" s="43"/>
      <c r="D131" s="7" t="s">
        <v>39</v>
      </c>
    </row>
    <row r="132" spans="1:4">
      <c r="A132" s="19"/>
      <c r="B132" s="43"/>
      <c r="C132" s="43"/>
      <c r="D132" s="7" t="s">
        <v>40</v>
      </c>
    </row>
    <row r="133" spans="1:4">
      <c r="A133" s="19"/>
      <c r="B133" s="43"/>
      <c r="C133" s="43"/>
      <c r="D133" s="7" t="s">
        <v>41</v>
      </c>
    </row>
    <row r="134" spans="1:4">
      <c r="A134" s="19"/>
      <c r="B134" s="43"/>
      <c r="C134" s="43"/>
      <c r="D134" s="7" t="s">
        <v>42</v>
      </c>
    </row>
    <row r="135" spans="1:4">
      <c r="A135" s="19"/>
      <c r="B135" s="43"/>
      <c r="C135" s="43"/>
      <c r="D135" s="7" t="s">
        <v>43</v>
      </c>
    </row>
    <row r="136" spans="1:4">
      <c r="A136" s="19"/>
      <c r="B136" s="43"/>
      <c r="C136" s="43"/>
      <c r="D136" s="7" t="s">
        <v>164</v>
      </c>
    </row>
    <row r="137" spans="1:4">
      <c r="A137" s="19"/>
      <c r="B137" s="43"/>
      <c r="C137" s="43">
        <v>3.9</v>
      </c>
      <c r="D137" s="7" t="s">
        <v>165</v>
      </c>
    </row>
    <row r="138" spans="1:4">
      <c r="A138" s="19"/>
      <c r="B138" s="43"/>
      <c r="C138" s="43"/>
      <c r="D138" s="7" t="s">
        <v>35</v>
      </c>
    </row>
    <row r="139" spans="1:4">
      <c r="A139" s="19"/>
      <c r="B139" s="43"/>
      <c r="C139" s="43"/>
      <c r="D139" s="7" t="s">
        <v>166</v>
      </c>
    </row>
    <row r="140" spans="1:4">
      <c r="A140" s="19"/>
      <c r="B140" s="43"/>
      <c r="C140" s="43"/>
      <c r="D140" s="7" t="s">
        <v>167</v>
      </c>
    </row>
    <row r="141" spans="1:4">
      <c r="A141" s="19"/>
      <c r="B141" s="43"/>
      <c r="C141" s="43"/>
      <c r="D141" s="7" t="s">
        <v>168</v>
      </c>
    </row>
    <row r="142" spans="1:4">
      <c r="A142" s="19"/>
      <c r="B142" s="43"/>
      <c r="C142" s="46">
        <v>3.1</v>
      </c>
      <c r="D142" s="7" t="s">
        <v>169</v>
      </c>
    </row>
    <row r="143" spans="1:4">
      <c r="A143" s="19"/>
      <c r="B143" s="43"/>
      <c r="C143" s="46"/>
      <c r="D143" s="7" t="s">
        <v>170</v>
      </c>
    </row>
    <row r="144" spans="1:4">
      <c r="A144" s="19"/>
      <c r="B144" s="43"/>
      <c r="C144" s="46"/>
      <c r="D144" s="7" t="s">
        <v>171</v>
      </c>
    </row>
    <row r="145" spans="1:4">
      <c r="A145" s="19"/>
      <c r="B145" s="43"/>
      <c r="C145" s="46"/>
      <c r="D145" s="7" t="s">
        <v>172</v>
      </c>
    </row>
    <row r="146" spans="1:4">
      <c r="A146" s="19"/>
      <c r="B146" s="43"/>
      <c r="C146" s="46"/>
      <c r="D146" s="7" t="s">
        <v>173</v>
      </c>
    </row>
    <row r="147" spans="1:4">
      <c r="A147" s="19"/>
      <c r="B147" s="43"/>
      <c r="C147" s="46"/>
      <c r="D147" s="7" t="s">
        <v>174</v>
      </c>
    </row>
    <row r="148" spans="1:4">
      <c r="A148" s="19"/>
      <c r="B148" s="43"/>
      <c r="C148" s="46"/>
      <c r="D148" s="7" t="s">
        <v>175</v>
      </c>
    </row>
    <row r="149" spans="1:4">
      <c r="A149" s="19"/>
      <c r="B149" s="43"/>
      <c r="C149" s="46"/>
      <c r="D149" s="7" t="s">
        <v>176</v>
      </c>
    </row>
    <row r="150" spans="1:4">
      <c r="A150" s="19"/>
      <c r="B150" s="43"/>
      <c r="C150" s="46"/>
      <c r="D150" s="7" t="s">
        <v>177</v>
      </c>
    </row>
    <row r="151" spans="1:4">
      <c r="A151" s="19"/>
      <c r="B151" s="43"/>
      <c r="C151" s="46"/>
      <c r="D151" s="7" t="s">
        <v>178</v>
      </c>
    </row>
    <row r="152" spans="1:4">
      <c r="A152" s="19"/>
      <c r="B152" s="43"/>
      <c r="C152" s="46"/>
      <c r="D152" s="7" t="s">
        <v>179</v>
      </c>
    </row>
    <row r="153" spans="1:4">
      <c r="A153" s="19"/>
      <c r="B153" s="43"/>
      <c r="C153" s="46"/>
      <c r="D153" s="7" t="s">
        <v>180</v>
      </c>
    </row>
    <row r="154" spans="1:4">
      <c r="A154" s="19"/>
      <c r="B154" s="43"/>
      <c r="C154" s="46"/>
      <c r="D154" s="7" t="s">
        <v>181</v>
      </c>
    </row>
    <row r="155" spans="1:4">
      <c r="A155" s="19"/>
      <c r="B155" s="43"/>
      <c r="C155" s="46"/>
      <c r="D155" s="7" t="s">
        <v>182</v>
      </c>
    </row>
    <row r="156" spans="1:4">
      <c r="A156" s="19"/>
      <c r="B156" s="43"/>
      <c r="C156" s="46"/>
      <c r="D156" s="7" t="s">
        <v>58</v>
      </c>
    </row>
    <row r="157" spans="1:4">
      <c r="A157" s="20"/>
      <c r="B157" s="43">
        <v>4</v>
      </c>
      <c r="C157" s="43">
        <v>4.0999999999999996</v>
      </c>
      <c r="D157" s="7" t="s">
        <v>183</v>
      </c>
    </row>
    <row r="158" spans="1:4">
      <c r="A158" s="19"/>
      <c r="B158" s="43"/>
      <c r="C158" s="43"/>
      <c r="D158" s="7" t="s">
        <v>184</v>
      </c>
    </row>
    <row r="159" spans="1:4">
      <c r="A159" s="19"/>
      <c r="B159" s="43"/>
      <c r="C159" s="43"/>
      <c r="D159" s="7" t="s">
        <v>185</v>
      </c>
    </row>
    <row r="160" spans="1:4">
      <c r="A160" s="19"/>
      <c r="B160" s="43"/>
      <c r="C160" s="43"/>
      <c r="D160" s="7" t="s">
        <v>186</v>
      </c>
    </row>
    <row r="161" spans="1:4">
      <c r="A161" s="19"/>
      <c r="B161" s="43"/>
      <c r="C161" s="43">
        <v>4.2</v>
      </c>
      <c r="D161" s="7" t="s">
        <v>187</v>
      </c>
    </row>
    <row r="162" spans="1:4">
      <c r="A162" s="19"/>
      <c r="B162" s="43"/>
      <c r="C162" s="43"/>
      <c r="D162" s="7" t="s">
        <v>188</v>
      </c>
    </row>
    <row r="163" spans="1:4">
      <c r="A163" s="19"/>
      <c r="B163" s="43"/>
      <c r="C163" s="43"/>
      <c r="D163" s="7" t="s">
        <v>189</v>
      </c>
    </row>
    <row r="164" spans="1:4">
      <c r="A164" s="19"/>
      <c r="B164" s="43"/>
      <c r="C164" s="43"/>
      <c r="D164" s="7" t="s">
        <v>44</v>
      </c>
    </row>
    <row r="165" spans="1:4">
      <c r="A165" s="19"/>
      <c r="B165" s="43"/>
      <c r="C165" s="43"/>
      <c r="D165" s="7" t="s">
        <v>190</v>
      </c>
    </row>
    <row r="166" spans="1:4">
      <c r="A166" s="19"/>
      <c r="B166" s="43"/>
      <c r="C166" s="43"/>
      <c r="D166" s="7" t="s">
        <v>191</v>
      </c>
    </row>
    <row r="167" spans="1:4">
      <c r="A167" s="19"/>
      <c r="B167" s="43"/>
      <c r="C167" s="43"/>
      <c r="D167" s="7" t="s">
        <v>45</v>
      </c>
    </row>
    <row r="168" spans="1:4">
      <c r="A168" s="19"/>
      <c r="B168" s="43"/>
      <c r="C168" s="43">
        <v>4.3</v>
      </c>
      <c r="D168" s="7" t="s">
        <v>46</v>
      </c>
    </row>
    <row r="169" spans="1:4">
      <c r="A169" s="19"/>
      <c r="B169" s="43"/>
      <c r="C169" s="43"/>
      <c r="D169" s="7" t="s">
        <v>47</v>
      </c>
    </row>
    <row r="170" spans="1:4">
      <c r="A170" s="19"/>
      <c r="B170" s="43"/>
      <c r="C170" s="43"/>
      <c r="D170" s="7" t="s">
        <v>192</v>
      </c>
    </row>
    <row r="171" spans="1:4">
      <c r="A171" s="19"/>
      <c r="B171" s="43"/>
      <c r="C171" s="43"/>
      <c r="D171" s="7" t="s">
        <v>193</v>
      </c>
    </row>
    <row r="172" spans="1:4">
      <c r="A172" s="19"/>
      <c r="B172" s="43"/>
      <c r="C172" s="43"/>
      <c r="D172" s="7" t="s">
        <v>194</v>
      </c>
    </row>
    <row r="173" spans="1:4">
      <c r="A173" s="19"/>
      <c r="B173" s="43"/>
      <c r="C173" s="43"/>
      <c r="D173" s="7" t="s">
        <v>48</v>
      </c>
    </row>
    <row r="174" spans="1:4">
      <c r="A174" s="19"/>
      <c r="B174" s="43"/>
      <c r="C174" s="43">
        <v>4.4000000000000004</v>
      </c>
      <c r="D174" s="7" t="s">
        <v>195</v>
      </c>
    </row>
    <row r="175" spans="1:4">
      <c r="A175" s="19"/>
      <c r="B175" s="43"/>
      <c r="C175" s="43"/>
      <c r="D175" s="7" t="s">
        <v>196</v>
      </c>
    </row>
    <row r="176" spans="1:4">
      <c r="A176" s="19"/>
      <c r="B176" s="43"/>
      <c r="C176" s="43"/>
      <c r="D176" s="7" t="s">
        <v>197</v>
      </c>
    </row>
    <row r="177" spans="1:4">
      <c r="A177" s="19"/>
      <c r="B177" s="43"/>
      <c r="C177" s="43"/>
      <c r="D177" s="7" t="s">
        <v>198</v>
      </c>
    </row>
    <row r="178" spans="1:4">
      <c r="A178" s="19"/>
      <c r="B178" s="43"/>
      <c r="C178" s="43"/>
      <c r="D178" s="7" t="s">
        <v>199</v>
      </c>
    </row>
    <row r="179" spans="1:4">
      <c r="A179" s="19"/>
      <c r="B179" s="43"/>
      <c r="C179" s="43"/>
      <c r="D179" s="7" t="s">
        <v>200</v>
      </c>
    </row>
    <row r="180" spans="1:4">
      <c r="A180" s="19"/>
      <c r="B180" s="43"/>
      <c r="C180" s="43"/>
      <c r="D180" s="7" t="s">
        <v>201</v>
      </c>
    </row>
    <row r="181" spans="1:4">
      <c r="A181" s="19"/>
      <c r="B181" s="43"/>
      <c r="C181" s="43"/>
      <c r="D181" s="7" t="s">
        <v>59</v>
      </c>
    </row>
  </sheetData>
  <autoFilter ref="A2:J181" xr:uid="{F0DC7BB0-6771-4160-B371-AE490E8879B7}"/>
  <mergeCells count="51">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9:C30"/>
    <mergeCell ref="C31:C37"/>
    <mergeCell ref="C38:C45"/>
    <mergeCell ref="C50:C58"/>
    <mergeCell ref="A1:J1"/>
    <mergeCell ref="E3:E11"/>
    <mergeCell ref="E12:E14"/>
    <mergeCell ref="F3:F11"/>
    <mergeCell ref="E15:E17"/>
    <mergeCell ref="C3:C11"/>
    <mergeCell ref="C12:C14"/>
    <mergeCell ref="C15:C17"/>
    <mergeCell ref="G31:G37"/>
    <mergeCell ref="E38:E45"/>
    <mergeCell ref="E46:E49"/>
    <mergeCell ref="E18:E25"/>
    <mergeCell ref="F12:F14"/>
    <mergeCell ref="F15:F17"/>
    <mergeCell ref="F18:F25"/>
    <mergeCell ref="E50:E58"/>
    <mergeCell ref="E26:E28"/>
    <mergeCell ref="A3:A58"/>
    <mergeCell ref="C26:C28"/>
    <mergeCell ref="B26:B58"/>
    <mergeCell ref="C46:C49"/>
    <mergeCell ref="E29:E30"/>
    <mergeCell ref="E31:E37"/>
    <mergeCell ref="C18:C25"/>
    <mergeCell ref="F50:F58"/>
    <mergeCell ref="F26:F28"/>
    <mergeCell ref="F29:F30"/>
    <mergeCell ref="F31:F37"/>
    <mergeCell ref="F38:F45"/>
    <mergeCell ref="F46:F4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FAF48-8618-45CD-B1C5-CEC08E5846C2}">
  <dimension ref="A1:L28"/>
  <sheetViews>
    <sheetView tabSelected="1" topLeftCell="A6" zoomScale="101" workbookViewId="0">
      <selection activeCell="M5" sqref="M5"/>
    </sheetView>
  </sheetViews>
  <sheetFormatPr defaultRowHeight="14.4"/>
  <cols>
    <col min="1" max="1" width="8.88671875" style="15" customWidth="1"/>
    <col min="2" max="2" width="11.88671875" style="15" bestFit="1" customWidth="1"/>
    <col min="3" max="3" width="9.88671875" style="15" bestFit="1" customWidth="1"/>
    <col min="4" max="4" width="60.77734375" bestFit="1" customWidth="1"/>
    <col min="5" max="5" width="11.5546875" bestFit="1" customWidth="1"/>
    <col min="6" max="6" width="11.109375" bestFit="1" customWidth="1"/>
    <col min="7" max="7" width="11.21875" bestFit="1" customWidth="1"/>
  </cols>
  <sheetData>
    <row r="1" spans="1:12">
      <c r="A1" s="36" t="s">
        <v>49</v>
      </c>
      <c r="B1" s="36"/>
      <c r="C1" s="36"/>
      <c r="D1" s="36"/>
      <c r="E1" s="36"/>
      <c r="F1" s="36"/>
      <c r="G1" s="36"/>
      <c r="H1" s="36"/>
      <c r="I1" s="36"/>
      <c r="J1" s="36"/>
    </row>
    <row r="2" spans="1:12" s="4" customFormat="1">
      <c r="A2" s="32" t="s">
        <v>5</v>
      </c>
      <c r="B2" s="32" t="s">
        <v>28</v>
      </c>
      <c r="C2" s="32" t="s">
        <v>0</v>
      </c>
      <c r="D2" s="10" t="s">
        <v>13</v>
      </c>
      <c r="E2" s="10" t="s">
        <v>54</v>
      </c>
      <c r="F2" s="10" t="s">
        <v>7</v>
      </c>
      <c r="G2" s="10" t="s">
        <v>4</v>
      </c>
      <c r="H2" s="10" t="s">
        <v>29</v>
      </c>
      <c r="I2" s="10" t="s">
        <v>3</v>
      </c>
      <c r="J2" s="10" t="s">
        <v>2</v>
      </c>
      <c r="K2" s="51" t="s">
        <v>264</v>
      </c>
      <c r="L2" s="52"/>
    </row>
    <row r="3" spans="1:12" ht="129.6">
      <c r="A3" s="37">
        <v>1</v>
      </c>
      <c r="B3" s="37">
        <v>1</v>
      </c>
      <c r="C3" s="15">
        <v>1.1000000000000001</v>
      </c>
      <c r="D3" s="2" t="s">
        <v>232</v>
      </c>
      <c r="E3" t="s">
        <v>20</v>
      </c>
      <c r="F3" cm="1">
        <f t="array" ref="F3">_xlfn.SWITCH(E3,"XS",1,"S",2,"M",3,"L",5,"XL",8,"XXL",13,"XXXL",21,"")</f>
        <v>5</v>
      </c>
      <c r="G3" t="s">
        <v>257</v>
      </c>
    </row>
    <row r="4" spans="1:12" ht="43.2">
      <c r="A4" s="37"/>
      <c r="B4" s="37"/>
      <c r="C4" s="15">
        <v>1.2</v>
      </c>
      <c r="D4" s="2" t="s">
        <v>233</v>
      </c>
      <c r="E4" t="s">
        <v>19</v>
      </c>
      <c r="F4" cm="1">
        <f t="array" ref="F4">_xlfn.SWITCH(E4,"XS",1,"S",2,"M",3,"L",5,"XL",8,"XXL",13,"XXXL",21,"")</f>
        <v>3</v>
      </c>
      <c r="G4" t="s">
        <v>257</v>
      </c>
    </row>
    <row r="5" spans="1:12" ht="43.2">
      <c r="A5" s="37"/>
      <c r="B5" s="37"/>
      <c r="C5" s="15">
        <v>1.3</v>
      </c>
      <c r="D5" s="2" t="s">
        <v>234</v>
      </c>
      <c r="E5" t="s">
        <v>17</v>
      </c>
      <c r="F5" cm="1">
        <f t="array" ref="F5">_xlfn.SWITCH(E5,"XS",1,"S",2,"M",3,"L",5,"XL",8,"XXL",13,"XXXL",21,"")</f>
        <v>1</v>
      </c>
      <c r="G5" t="s">
        <v>258</v>
      </c>
    </row>
    <row r="6" spans="1:12" ht="115.2">
      <c r="A6" s="37"/>
      <c r="B6" s="37"/>
      <c r="C6" s="48">
        <v>1.4</v>
      </c>
      <c r="D6" s="49" t="s">
        <v>235</v>
      </c>
      <c r="E6" s="50" t="s">
        <v>20</v>
      </c>
      <c r="F6" s="50" cm="1">
        <f t="array" ref="F6">_xlfn.SWITCH(E6,"XS",1,"S",2,"M",3,"L",5,"XL",8,"XXL",13,"XXXL",21,"")</f>
        <v>5</v>
      </c>
      <c r="G6" s="50" t="s">
        <v>260</v>
      </c>
      <c r="H6" s="50"/>
      <c r="I6" s="50"/>
      <c r="J6" s="50"/>
    </row>
    <row r="7" spans="1:12" ht="57.6">
      <c r="A7" s="37"/>
      <c r="B7" s="37">
        <v>2</v>
      </c>
      <c r="C7" s="15">
        <v>2.1</v>
      </c>
      <c r="D7" s="2" t="s">
        <v>236</v>
      </c>
      <c r="E7" t="s">
        <v>18</v>
      </c>
      <c r="F7" cm="1">
        <f t="array" ref="F7">_xlfn.SWITCH(E7,"XS",1,"S",2,"M",3,"L",5,"XL",8,"XXL",13,"XXXL",21,"")</f>
        <v>2</v>
      </c>
      <c r="G7" t="s">
        <v>259</v>
      </c>
    </row>
    <row r="8" spans="1:12" ht="43.2">
      <c r="A8" s="37"/>
      <c r="B8" s="37"/>
      <c r="C8" s="15">
        <v>2.2000000000000002</v>
      </c>
      <c r="D8" s="2" t="s">
        <v>237</v>
      </c>
      <c r="E8" t="s">
        <v>17</v>
      </c>
      <c r="F8" cm="1">
        <f t="array" ref="F8">_xlfn.SWITCH(E8,"XS",1,"S",2,"M",3,"L",5,"XL",8,"XXL",13,"XXXL",21,"")</f>
        <v>1</v>
      </c>
      <c r="G8" t="s">
        <v>259</v>
      </c>
    </row>
    <row r="9" spans="1:12" ht="100.8">
      <c r="A9" s="37"/>
      <c r="B9" s="37"/>
      <c r="C9" s="15">
        <v>2.2999999999999998</v>
      </c>
      <c r="D9" s="2" t="s">
        <v>238</v>
      </c>
      <c r="E9" t="s">
        <v>21</v>
      </c>
      <c r="F9" cm="1">
        <f t="array" ref="F9">_xlfn.SWITCH(E9,"XS",1,"S",2,"M",3,"L",5,"XL",8,"XXL",13,"XXXL",21,"")</f>
        <v>8</v>
      </c>
      <c r="G9" t="s">
        <v>214</v>
      </c>
    </row>
    <row r="10" spans="1:12" ht="115.2">
      <c r="A10" s="37"/>
      <c r="B10" s="37"/>
      <c r="C10" s="15">
        <v>2.4</v>
      </c>
      <c r="D10" s="2" t="s">
        <v>239</v>
      </c>
      <c r="E10" t="s">
        <v>20</v>
      </c>
      <c r="F10" cm="1">
        <f t="array" ref="F10">_xlfn.SWITCH(E10,"XS",1,"S",2,"M",3,"L",5,"XL",8,"XXL",13,"XXXL",21,"")</f>
        <v>5</v>
      </c>
      <c r="G10" t="s">
        <v>261</v>
      </c>
    </row>
    <row r="11" spans="1:12" ht="57.6">
      <c r="A11" s="37"/>
      <c r="B11" s="37"/>
      <c r="C11" s="15">
        <v>2.5</v>
      </c>
      <c r="D11" s="2" t="s">
        <v>262</v>
      </c>
      <c r="E11" t="s">
        <v>18</v>
      </c>
      <c r="F11" cm="1">
        <f t="array" ref="F11">_xlfn.SWITCH(E11,"XS",1,"S",2,"M",3,"L",5,"XL",8,"XXL",13,"XXXL",21,"")</f>
        <v>2</v>
      </c>
      <c r="G11" t="s">
        <v>259</v>
      </c>
    </row>
    <row r="12" spans="1:12" ht="86.4">
      <c r="A12" s="37"/>
      <c r="B12" s="37"/>
      <c r="C12" s="15">
        <v>2.6</v>
      </c>
      <c r="D12" s="2" t="s">
        <v>240</v>
      </c>
      <c r="E12" t="s">
        <v>19</v>
      </c>
      <c r="F12" cm="1">
        <f t="array" ref="F12">_xlfn.SWITCH(E12,"XS",1,"S",2,"M",3,"L",5,"XL",8,"XXL",13,"XXXL",21,"")</f>
        <v>3</v>
      </c>
      <c r="G12" t="s">
        <v>263</v>
      </c>
    </row>
    <row r="13" spans="1:12" ht="158.4">
      <c r="A13" s="37"/>
      <c r="B13" s="37"/>
      <c r="C13" s="48">
        <v>2.7</v>
      </c>
      <c r="D13" s="49" t="s">
        <v>241</v>
      </c>
      <c r="E13" s="50" t="s">
        <v>20</v>
      </c>
      <c r="F13" s="50" cm="1">
        <f t="array" ref="F13">_xlfn.SWITCH(E13,"XS",1,"S",2,"M",3,"L",5,"XL",8,"XXL",13,"XXXL",21,"")</f>
        <v>5</v>
      </c>
      <c r="G13" s="50" t="s">
        <v>260</v>
      </c>
      <c r="H13" s="50"/>
      <c r="I13" s="50"/>
      <c r="J13" s="50"/>
    </row>
    <row r="14" spans="1:12">
      <c r="A14" s="33"/>
      <c r="B14" s="34"/>
      <c r="C14" s="34"/>
      <c r="D14" s="30" t="s">
        <v>242</v>
      </c>
      <c r="E14" s="29"/>
      <c r="F14" s="29">
        <f>SUM(F3:F13)</f>
        <v>40</v>
      </c>
      <c r="G14" s="29"/>
      <c r="H14" s="29"/>
      <c r="I14" s="29"/>
      <c r="J14" s="31"/>
    </row>
    <row r="15" spans="1:12" ht="86.4">
      <c r="A15" s="38">
        <v>2</v>
      </c>
      <c r="B15" s="38">
        <v>3</v>
      </c>
      <c r="C15" s="15">
        <v>3.1</v>
      </c>
      <c r="D15" s="2" t="s">
        <v>243</v>
      </c>
    </row>
    <row r="16" spans="1:12" ht="172.8">
      <c r="A16" s="37"/>
      <c r="B16" s="37"/>
      <c r="C16" s="15">
        <v>3.2</v>
      </c>
      <c r="D16" s="2" t="s">
        <v>244</v>
      </c>
    </row>
    <row r="17" spans="1:4" ht="172.8">
      <c r="A17" s="37"/>
      <c r="B17" s="37"/>
      <c r="C17" s="15">
        <v>3.3</v>
      </c>
      <c r="D17" s="2" t="s">
        <v>245</v>
      </c>
    </row>
    <row r="18" spans="1:4" ht="187.2">
      <c r="A18" s="37"/>
      <c r="B18" s="37"/>
      <c r="C18" s="15">
        <v>3.4</v>
      </c>
      <c r="D18" s="2" t="s">
        <v>246</v>
      </c>
    </row>
    <row r="19" spans="1:4" ht="129.6">
      <c r="A19" s="37"/>
      <c r="B19" s="37"/>
      <c r="C19" s="15">
        <v>3.5</v>
      </c>
      <c r="D19" s="2" t="s">
        <v>247</v>
      </c>
    </row>
    <row r="20" spans="1:4" ht="86.4">
      <c r="A20" s="37"/>
      <c r="B20" s="37"/>
      <c r="C20" s="15">
        <v>3.6</v>
      </c>
      <c r="D20" s="2" t="s">
        <v>248</v>
      </c>
    </row>
    <row r="21" spans="1:4" ht="158.4">
      <c r="A21" s="37"/>
      <c r="B21" s="37"/>
      <c r="C21" s="15">
        <v>3.7</v>
      </c>
      <c r="D21" s="2" t="s">
        <v>249</v>
      </c>
    </row>
    <row r="22" spans="1:4" ht="144">
      <c r="A22" s="37"/>
      <c r="B22" s="37"/>
      <c r="C22" s="15">
        <v>3.8</v>
      </c>
      <c r="D22" s="2" t="s">
        <v>250</v>
      </c>
    </row>
    <row r="23" spans="1:4" ht="72">
      <c r="A23" s="37"/>
      <c r="B23" s="37"/>
      <c r="C23" s="15">
        <v>3.9</v>
      </c>
      <c r="D23" s="2" t="s">
        <v>251</v>
      </c>
    </row>
    <row r="24" spans="1:4" ht="216">
      <c r="A24" s="37"/>
      <c r="B24" s="37"/>
      <c r="C24" s="35">
        <v>3.1</v>
      </c>
      <c r="D24" s="2" t="s">
        <v>252</v>
      </c>
    </row>
    <row r="25" spans="1:4" ht="57.6">
      <c r="A25" s="37"/>
      <c r="B25" s="37">
        <v>4</v>
      </c>
      <c r="C25" s="15">
        <v>4.0999999999999996</v>
      </c>
      <c r="D25" s="2" t="s">
        <v>253</v>
      </c>
    </row>
    <row r="26" spans="1:4" ht="100.8">
      <c r="A26" s="37"/>
      <c r="B26" s="37"/>
      <c r="C26" s="15">
        <v>4.2</v>
      </c>
      <c r="D26" s="2" t="s">
        <v>254</v>
      </c>
    </row>
    <row r="27" spans="1:4" ht="86.4">
      <c r="A27" s="37"/>
      <c r="B27" s="37"/>
      <c r="C27" s="15">
        <v>4.3</v>
      </c>
      <c r="D27" s="2" t="s">
        <v>255</v>
      </c>
    </row>
    <row r="28" spans="1:4" ht="115.2">
      <c r="A28" s="37"/>
      <c r="B28" s="37"/>
      <c r="C28" s="15">
        <v>4.4000000000000004</v>
      </c>
      <c r="D28" s="2" t="s">
        <v>256</v>
      </c>
    </row>
  </sheetData>
  <mergeCells count="7">
    <mergeCell ref="B25:B28"/>
    <mergeCell ref="A15:A28"/>
    <mergeCell ref="A1:J1"/>
    <mergeCell ref="A3:A13"/>
    <mergeCell ref="B3:B6"/>
    <mergeCell ref="B7:B13"/>
    <mergeCell ref="B15:B24"/>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87AEC-DE6A-4BD3-B656-5E86DF79D39A}">
  <dimension ref="A1:E11"/>
  <sheetViews>
    <sheetView workbookViewId="0">
      <selection activeCell="D2" sqref="D2"/>
    </sheetView>
  </sheetViews>
  <sheetFormatPr defaultRowHeight="14.4"/>
  <cols>
    <col min="1" max="1" width="4.88671875" style="21" bestFit="1" customWidth="1"/>
    <col min="2" max="2" width="10.33203125" bestFit="1" customWidth="1"/>
    <col min="3" max="3" width="10.77734375" style="3" customWidth="1"/>
    <col min="5" max="5" width="10.77734375" style="3" customWidth="1"/>
  </cols>
  <sheetData>
    <row r="1" spans="1:5" ht="57.6">
      <c r="A1" s="22" t="s">
        <v>216</v>
      </c>
      <c r="B1" s="23" t="s">
        <v>217</v>
      </c>
      <c r="C1" s="24" t="s">
        <v>218</v>
      </c>
      <c r="D1" s="24" t="s">
        <v>219</v>
      </c>
      <c r="E1" s="24" t="s">
        <v>220</v>
      </c>
    </row>
    <row r="2" spans="1:5">
      <c r="A2" s="25" t="s">
        <v>229</v>
      </c>
      <c r="B2" s="26">
        <v>46265</v>
      </c>
      <c r="C2" s="27">
        <f>('Updated Sprint'!F14)-SUM(E$2:E2)</f>
        <v>40</v>
      </c>
      <c r="D2" s="12">
        <f>('Updated Sprint'!F14)*(1-(A2-1)/8)</f>
        <v>40</v>
      </c>
      <c r="E2" s="28">
        <v>0</v>
      </c>
    </row>
    <row r="3" spans="1:5">
      <c r="A3" s="25" t="s">
        <v>221</v>
      </c>
      <c r="B3" s="26">
        <v>46266</v>
      </c>
      <c r="C3" s="27">
        <f>('Updated Sprint'!F14)-SUM(E$2:E3)</f>
        <v>40</v>
      </c>
      <c r="D3" s="12">
        <f>('Updated Sprint'!F14)*(1-(A3-1)/8)</f>
        <v>35</v>
      </c>
      <c r="E3" s="28">
        <v>0</v>
      </c>
    </row>
    <row r="4" spans="1:5">
      <c r="A4" s="25" t="s">
        <v>222</v>
      </c>
      <c r="B4" s="26">
        <v>46267</v>
      </c>
      <c r="C4" s="27">
        <f>('Updated Sprint'!F14)-SUM(E$2:E4)</f>
        <v>40</v>
      </c>
      <c r="D4" s="12">
        <f>('Updated Sprint'!F14)*(1-(A4-1)/8)</f>
        <v>30</v>
      </c>
      <c r="E4" s="28">
        <v>0</v>
      </c>
    </row>
    <row r="5" spans="1:5">
      <c r="A5" s="25" t="s">
        <v>223</v>
      </c>
      <c r="B5" s="26">
        <v>46268</v>
      </c>
      <c r="C5" s="27">
        <f>('Updated Sprint'!F14)-SUM(E$2:E5)</f>
        <v>40</v>
      </c>
      <c r="D5" s="12">
        <f>('Updated Sprint'!F14)*(1-(A5-1)/8)</f>
        <v>25</v>
      </c>
      <c r="E5" s="28">
        <v>0</v>
      </c>
    </row>
    <row r="6" spans="1:5">
      <c r="A6" s="25" t="s">
        <v>224</v>
      </c>
      <c r="B6" s="26">
        <v>46269</v>
      </c>
      <c r="C6" s="27">
        <f>('Updated Sprint'!F14)-SUM(E$2:E6)</f>
        <v>40</v>
      </c>
      <c r="D6" s="12">
        <f>('Updated Sprint'!F14)*(1-(A6-1)/8)</f>
        <v>20</v>
      </c>
      <c r="E6" s="28">
        <v>0</v>
      </c>
    </row>
    <row r="7" spans="1:5">
      <c r="A7" s="25" t="s">
        <v>225</v>
      </c>
      <c r="B7" s="26">
        <v>46272</v>
      </c>
      <c r="C7" s="27">
        <f>('Updated Sprint'!F14)-SUM(E$2:E7)</f>
        <v>40</v>
      </c>
      <c r="D7" s="12">
        <f>('Updated Sprint'!F14)*(1-(A7-1)/8)</f>
        <v>15</v>
      </c>
      <c r="E7" s="28">
        <v>0</v>
      </c>
    </row>
    <row r="8" spans="1:5">
      <c r="A8" s="25" t="s">
        <v>226</v>
      </c>
      <c r="B8" s="26">
        <v>46273</v>
      </c>
      <c r="C8" s="27">
        <f>('Updated Sprint'!F14)-SUM(E$2:E8)</f>
        <v>40</v>
      </c>
      <c r="D8" s="12">
        <f>('Updated Sprint'!F14)*(1-(A8-1)/8)</f>
        <v>10</v>
      </c>
      <c r="E8" s="28">
        <v>0</v>
      </c>
    </row>
    <row r="9" spans="1:5">
      <c r="A9" s="25" t="s">
        <v>227</v>
      </c>
      <c r="B9" s="26">
        <v>46274</v>
      </c>
      <c r="C9" s="27">
        <f>('Updated Sprint'!F14)-SUM(E$2:E9)</f>
        <v>40</v>
      </c>
      <c r="D9" s="12">
        <f>('Updated Sprint'!F14)*(1-(A9-1)/8)</f>
        <v>5</v>
      </c>
      <c r="E9" s="28">
        <v>0</v>
      </c>
    </row>
    <row r="10" spans="1:5">
      <c r="A10" s="25" t="s">
        <v>228</v>
      </c>
      <c r="B10" s="26">
        <v>46275</v>
      </c>
      <c r="C10" s="27">
        <f>('Updated Sprint'!F14)-SUM(E$2:E10)</f>
        <v>40</v>
      </c>
      <c r="D10" s="12">
        <f>('Updated Sprint'!F14)*(1-(A10-1)/8)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47" t="s">
        <v>24</v>
      </c>
      <c r="B1" s="47"/>
      <c r="C1" s="47"/>
      <c r="D1" s="47"/>
      <c r="E1" s="47"/>
      <c r="F1" s="47"/>
      <c r="G1" s="47"/>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Backlog</vt:lpstr>
      <vt:lpstr>Sprint Backlog</vt:lpstr>
      <vt:lpstr>Updated Sprint</vt:lpstr>
      <vt:lpstr>Burndown Chart</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2026-08-28T11:00:43Z</dcterms:modified>
</cp:coreProperties>
</file>