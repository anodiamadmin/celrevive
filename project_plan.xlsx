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filterPrivacy="1" defaultThemeVersion="124226"/>
  <xr:revisionPtr revIDLastSave="0" documentId="13_ncr:1_{0DAEFD4B-48EF-4F3C-A8E1-26F7304E8A50}" xr6:coauthVersionLast="47" xr6:coauthVersionMax="47" xr10:uidLastSave="{00000000-0000-0000-0000-000000000000}"/>
  <bookViews>
    <workbookView xWindow="-108" yWindow="-108" windowWidth="23256" windowHeight="13176" activeTab="3" xr2:uid="{00000000-000D-0000-FFFF-FFFF00000000}"/>
  </bookViews>
  <sheets>
    <sheet name="Project Plan" sheetId="1" r:id="rId1"/>
    <sheet name="Sprint Plan" sheetId="2" r:id="rId2"/>
    <sheet name="Sprint Backlog" sheetId="3" r:id="rId3"/>
    <sheet name="Sheet2" sheetId="7" r:id="rId4"/>
    <sheet name="Product Backlog" sheetId="4" r:id="rId5"/>
    <sheet name="T Shirt sizing rules"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 i="7" l="1" a="1"/>
  <c r="F18" i="7" s="1"/>
  <c r="F13" i="7" a="1"/>
  <c r="F13" i="7" s="1"/>
  <c r="F3" i="7" a="1"/>
  <c r="F3" i="7" s="1"/>
  <c r="C3" i="5"/>
  <c r="D3" i="5" s="1"/>
  <c r="F3" i="5" l="1"/>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tc={7A857420-A344-4A5B-B5A5-8DCCE0278C3D}</author>
    <author>tc={62DF36E2-EA7C-49D8-8C48-B87BDEFAC85F}</author>
  </authors>
  <commentList>
    <comment ref="D55" authorId="0" shapeId="0" xr:uid="{7A857420-A344-4A5B-B5A5-8DCCE0278C3D}">
      <text>
        <t xml:space="preserve">[Threaded comment]
Your version of Excel allows you to read this threaded comment; however, any edits to it will get removed if the file is opened in a newer version of Excel. Learn more: https://go.microsoft.com/fwlink/?linkid=870924
Comment:
    Do we display all concerns or just top n 
</t>
      </text>
    </comment>
    <comment ref="D153" authorId="1" shapeId="0" xr:uid="{62DF36E2-EA7C-49D8-8C48-B87BDEFAC85F}">
      <text>
        <t xml:space="preserve">[Threaded comment]
Your version of Excel allows you to read this threaded comment; however, any edits to it will get removed if the file is opened in a newer version of Excel. Learn more: https://go.microsoft.com/fwlink/?linkid=870924
Comment:
    Do we need for MVP?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<sst xmlns="http://schemas.openxmlformats.org/spreadsheetml/2006/main" count="540" uniqueCount="417">
  <si>
    <t>Gain access to the Dev pannel of Shopify website for CelRevive from client.</t>
  </si>
  <si>
    <t>Sayan</t>
  </si>
  <si>
    <t>Start Date</t>
  </si>
  <si>
    <t>How to integrate a React widget component inside dev pannel of shopify websites. Specifically a survey and a camera widget. Do we need a separate widget for the recommendation page? Or a shopify page itself may work?</t>
  </si>
  <si>
    <t>BackEnd</t>
  </si>
  <si>
    <t>Work Item</t>
  </si>
  <si>
    <t>Responsible</t>
  </si>
  <si>
    <t>Comments/ Notes</t>
  </si>
  <si>
    <t>Section</t>
  </si>
  <si>
    <t>Front End</t>
  </si>
  <si>
    <t>Sl #</t>
  </si>
  <si>
    <t>Responsive React Widget for Questionnaire</t>
  </si>
  <si>
    <t>Shopify page to begin assessment</t>
  </si>
  <si>
    <t>Shopify page to show recommendation</t>
  </si>
  <si>
    <t>ETA</t>
  </si>
  <si>
    <t>Database vectorization - close review comments</t>
  </si>
  <si>
    <t>Review comments alread in Git</t>
  </si>
  <si>
    <t>Responsive React Widget for Camera + consent</t>
  </si>
  <si>
    <t>Image preprocessing &amp; quality validation</t>
  </si>
  <si>
    <t>Quality check of the image: if the image is of someone's skin or not, If the image is of skin but has deformities (e.g. not clear, low light etc.)</t>
  </si>
  <si>
    <t>Gemini concern classification</t>
  </si>
  <si>
    <t>From the RAG concerns table only</t>
  </si>
  <si>
    <t xml:space="preserve">Questionnaire processing </t>
  </si>
  <si>
    <t>From the concerns table only. The processing of the questionnaire responses may be deterministic. Vidit to create the core logic of Questionnaire processing and get it reviewed with Lindsey/ business.</t>
  </si>
  <si>
    <t>RAG-based base &amp; active retrieval</t>
  </si>
  <si>
    <t>Sayan, Soubhanik, Anirban's help</t>
  </si>
  <si>
    <t>Compatibility filtering</t>
  </si>
  <si>
    <t>Formulation ranking</t>
  </si>
  <si>
    <t>Gemini-generated formulation explanation</t>
  </si>
  <si>
    <t>JSON response to frontend</t>
  </si>
  <si>
    <t>Vidit, Rajanya</t>
  </si>
  <si>
    <t>Azad, Nathan</t>
  </si>
  <si>
    <t>Shopify "Check out" and "add to cart" functionalities from recommendation page.</t>
  </si>
  <si>
    <r>
      <t xml:space="preserve">Shopify website </t>
    </r>
    <r>
      <rPr>
        <b/>
        <sz val="11"/>
        <color theme="1"/>
        <rFont val="Calibri"/>
        <family val="2"/>
        <scheme val="minor"/>
      </rPr>
      <t>hands-on</t>
    </r>
    <r>
      <rPr>
        <sz val="11"/>
        <color theme="1"/>
        <rFont val="Calibri"/>
        <family val="2"/>
        <scheme val="minor"/>
      </rPr>
      <t xml:space="preserve"> research.</t>
    </r>
  </si>
  <si>
    <t xml:space="preserve">Add exclusion table </t>
  </si>
  <si>
    <t xml:space="preserve">Contains allergens and contraindictions which users answer in questionnaire </t>
  </si>
  <si>
    <t xml:space="preserve">Vision LLM concern extraction prompt &amp; json design </t>
  </si>
  <si>
    <t>SQL Candidate Shortlist Query</t>
  </si>
  <si>
    <t>Formulation LLM call prompt and json design</t>
  </si>
  <si>
    <t>Questionnaire concern extraction prompt &amp; json design</t>
  </si>
  <si>
    <t xml:space="preserve">Design json structure to send shortlist package and get active, base , dosage and explanation. </t>
  </si>
  <si>
    <t xml:space="preserve">Concern fusion </t>
  </si>
  <si>
    <t>1. Use exclusion table (item 9) to filter out allergens and contraindications
2.From the user's confirmed concerns, join concern_benefit with active_benefit_score and base_active_compatability, to give filtered, structured json packet</t>
  </si>
  <si>
    <t>Post Generation safety re-check</t>
  </si>
  <si>
    <t xml:space="preserve">Final check to see if returned formulation contains any exclusions or incompatabilities </t>
  </si>
  <si>
    <t xml:space="preserve">LLM interaction auditing </t>
  </si>
  <si>
    <r>
      <t xml:space="preserve">Write to existing </t>
    </r>
    <r>
      <rPr>
        <sz val="10"/>
        <color theme="1"/>
        <rFont val="Arial Unicode MS"/>
      </rPr>
      <t>audit_log</t>
    </r>
    <r>
      <rPr>
        <sz val="11"/>
        <color theme="1"/>
        <rFont val="Calibri"/>
        <family val="2"/>
        <scheme val="minor"/>
      </rPr>
      <t xml:space="preserve"> — no new table needed</t>
    </r>
  </si>
  <si>
    <t>Task</t>
  </si>
  <si>
    <t>Add exclusion table</t>
  </si>
  <si>
    <t>Design schema (allergen/exclusion master + active link table)</t>
  </si>
  <si>
    <t>Map questionnaire allergen field → exclusion table (structured, not free-text)</t>
  </si>
  <si>
    <t>Write DDL migration</t>
  </si>
  <si>
    <t>Seed exclusion data from workbook/domain input</t>
  </si>
  <si>
    <t>Write QA query to validate coverage (e.g. every active has been assessed against every known allergen category)</t>
  </si>
  <si>
    <t xml:space="preserve">Image Preprocessing &amp; Quality Validation </t>
  </si>
  <si>
    <t>Define acceptance thresholds (blur, lighting,resolution)</t>
  </si>
  <si>
    <t>Vision LLM Concern Extraction</t>
  </si>
  <si>
    <t>Define prompt structure</t>
  </si>
  <si>
    <t>Questionnaire Concern Extraction</t>
  </si>
  <si>
    <t xml:space="preserve">Concern Fusion </t>
  </si>
  <si>
    <t>Fuse questionnaire &amp; image skin detected skin concerns using OR  logic i.e
skin_concerns = questionnaire_concerns OR image_concerns</t>
  </si>
  <si>
    <r>
      <t xml:space="preserve">Update </t>
    </r>
    <r>
      <rPr>
        <b/>
        <sz val="11"/>
        <color theme="1"/>
        <rFont val="Calibri"/>
        <family val="2"/>
        <scheme val="minor"/>
      </rPr>
      <t>session_skin_concern_score</t>
    </r>
    <r>
      <rPr>
        <sz val="11"/>
        <color theme="1"/>
        <rFont val="Calibri"/>
        <family val="2"/>
        <scheme val="minor"/>
      </rPr>
      <t xml:space="preserve"> table</t>
    </r>
  </si>
  <si>
    <t>Apply exclusion filter</t>
  </si>
  <si>
    <r>
      <t xml:space="preserve">Define JSON package shape for LLM call - </t>
    </r>
    <r>
      <rPr>
        <b/>
        <sz val="11"/>
        <color theme="1"/>
        <rFont val="Calibri"/>
        <family val="2"/>
        <scheme val="minor"/>
      </rPr>
      <t>shortlist_json</t>
    </r>
  </si>
  <si>
    <t xml:space="preserve">Formulation LLM Call </t>
  </si>
  <si>
    <r>
      <t xml:space="preserve">Draft prompt template consuming </t>
    </r>
    <r>
      <rPr>
        <b/>
        <sz val="11"/>
        <color theme="1"/>
        <rFont val="Calibri"/>
        <family val="2"/>
        <scheme val="minor"/>
      </rPr>
      <t xml:space="preserve">shortlist_json </t>
    </r>
  </si>
  <si>
    <t>Define output Json Schema</t>
  </si>
  <si>
    <t>Work Serial</t>
  </si>
  <si>
    <t>Desginated Team</t>
  </si>
  <si>
    <t xml:space="preserve">Backend Sprint </t>
  </si>
  <si>
    <t>Status</t>
  </si>
  <si>
    <t>LLM Interaction auditing</t>
  </si>
  <si>
    <r>
      <t xml:space="preserve">Define </t>
    </r>
    <r>
      <rPr>
        <b/>
        <sz val="11"/>
        <color theme="1"/>
        <rFont val="Calibri"/>
        <family val="2"/>
        <scheme val="minor"/>
      </rPr>
      <t>audit_log</t>
    </r>
    <r>
      <rPr>
        <sz val="11"/>
        <color theme="1"/>
        <rFont val="Calibri"/>
        <family val="2"/>
        <scheme val="minor"/>
      </rPr>
      <t xml:space="preserve"> payload shape per event_type (image, questionnaire,formulation)</t>
    </r>
  </si>
  <si>
    <t>Implement logging calls at each LLM touchpoint</t>
  </si>
  <si>
    <t>Define final response schema (formulation,actives,bases,explanation, formulation_id,etc)</t>
  </si>
  <si>
    <t>Implement DB -&gt; Json serialization</t>
  </si>
  <si>
    <t xml:space="preserve">Define error/fallback response </t>
  </si>
  <si>
    <t>Shopify integration test</t>
  </si>
  <si>
    <t>Work Sub Serial</t>
  </si>
  <si>
    <t>Sprint Serial</t>
  </si>
  <si>
    <t>SQL Candidate Shortlist Query (Optional)</t>
  </si>
  <si>
    <t>Audit final candidate table</t>
  </si>
  <si>
    <t>Sprint Start</t>
  </si>
  <si>
    <t>Duration</t>
  </si>
  <si>
    <t xml:space="preserve">Define output JSON structure </t>
  </si>
  <si>
    <r>
      <t xml:space="preserve">Implement preprocessing pipeline </t>
    </r>
    <r>
      <rPr>
        <sz val="11"/>
        <color rgb="FFFF0000"/>
        <rFont val="Calibri"/>
        <family val="2"/>
        <scheme val="minor"/>
      </rPr>
      <t>(update in detail)</t>
    </r>
  </si>
  <si>
    <t>Scope</t>
  </si>
  <si>
    <r>
      <t xml:space="preserve">Quality gate + reject/retry module
</t>
    </r>
    <r>
      <rPr>
        <sz val="11"/>
        <color rgb="FFFF0000"/>
        <rFont val="Calibri"/>
        <family val="2"/>
        <scheme val="minor"/>
      </rPr>
      <t>(capture status code from backend and display in the frontend in a UX shell)</t>
    </r>
  </si>
  <si>
    <t>Rajanya , Azad</t>
  </si>
  <si>
    <t>Vidit</t>
  </si>
  <si>
    <t>6 days</t>
  </si>
  <si>
    <t>Soubhanik</t>
  </si>
  <si>
    <t>3 days</t>
  </si>
  <si>
    <t>End Date</t>
  </si>
  <si>
    <t>7 days</t>
  </si>
  <si>
    <t xml:space="preserve">Sprint Review </t>
  </si>
  <si>
    <t>TBD</t>
  </si>
  <si>
    <t>Blocker</t>
  </si>
  <si>
    <t>Client yet to mail back</t>
  </si>
  <si>
    <t>In Progress</t>
  </si>
  <si>
    <t>2 days</t>
  </si>
  <si>
    <t>Team</t>
  </si>
  <si>
    <t>Rajanya, Azad and Vidit</t>
  </si>
  <si>
    <r>
      <t xml:space="preserve">join </t>
    </r>
    <r>
      <rPr>
        <b/>
        <sz val="11"/>
        <color theme="1"/>
        <rFont val="Calibri"/>
        <family val="2"/>
        <scheme val="minor"/>
      </rPr>
      <t>concern_benefit</t>
    </r>
    <r>
      <rPr>
        <sz val="11"/>
        <color theme="1"/>
        <rFont val="Calibri"/>
        <family val="2"/>
        <scheme val="minor"/>
      </rPr>
      <t xml:space="preserve"> + </t>
    </r>
    <r>
      <rPr>
        <b/>
        <sz val="11"/>
        <color theme="1"/>
        <rFont val="Calibri"/>
        <family val="2"/>
        <scheme val="minor"/>
      </rPr>
      <t>active_benefit</t>
    </r>
    <r>
      <rPr>
        <sz val="11"/>
        <color theme="1"/>
        <rFont val="Calibri"/>
        <family val="2"/>
        <scheme val="minor"/>
      </rPr>
      <t xml:space="preserve"> _</t>
    </r>
    <r>
      <rPr>
        <b/>
        <sz val="11"/>
        <color theme="1"/>
        <rFont val="Calibri"/>
        <family val="2"/>
        <scheme val="minor"/>
      </rPr>
      <t xml:space="preserve">score+base_active_compatability
</t>
    </r>
    <r>
      <rPr>
        <sz val="11"/>
        <color theme="1"/>
        <rFont val="Calibri"/>
        <family val="2"/>
        <scheme val="minor"/>
      </rPr>
      <t xml:space="preserve">(climate, skin type {oily,semi-oily,dry,etc},acne suitable) -&gt; bases
</t>
    </r>
    <r>
      <rPr>
        <sz val="11"/>
        <color rgb="FFC00000"/>
        <rFont val="Calibri"/>
        <family val="2"/>
        <scheme val="minor"/>
      </rPr>
      <t>(vector db query ; no deterministic logic)</t>
    </r>
  </si>
  <si>
    <t>Sprint</t>
  </si>
  <si>
    <t>User Story</t>
  </si>
  <si>
    <t>Story Points</t>
  </si>
  <si>
    <t>Designated Team</t>
  </si>
  <si>
    <t>Image Preprocessing &amp; Quality</t>
  </si>
  <si>
    <t>Questionnaire concern extraction</t>
  </si>
  <si>
    <t>Concern Fusion</t>
  </si>
  <si>
    <t>As a customer, I want the system to shortlist compatible actives and bases based on my combined image and questionnaire concerns, so that only relevant, safe candidates feed into my formulation.</t>
  </si>
  <si>
    <t>As a customer, I want to receive a formulation — recommended
 actives, bases, dosage and explanation — based on my shortlisted 
candidates, so that I get a personalised, safe product recommendation.</t>
  </si>
  <si>
    <t>Formulation LLM Call</t>
  </si>
  <si>
    <t>LLM interaction auditing</t>
  </si>
  <si>
    <t>Internal Review</t>
  </si>
  <si>
    <t>Client Review</t>
  </si>
  <si>
    <t>Shopify Integration Feasibility Test</t>
  </si>
  <si>
    <t>Test the feasibility of shopify api integration</t>
  </si>
  <si>
    <t>pending access to client shopify store</t>
  </si>
  <si>
    <t>Quality Testing</t>
  </si>
  <si>
    <t>Create a test dataset</t>
  </si>
  <si>
    <t>Validate System with test dataset</t>
  </si>
  <si>
    <r>
      <rPr>
        <b/>
        <sz val="11"/>
        <color theme="1"/>
        <rFont val="Calibri"/>
        <family val="2"/>
        <scheme val="minor"/>
      </rPr>
      <t>As a</t>
    </r>
    <r>
      <rPr>
        <sz val="11"/>
        <color theme="1"/>
        <rFont val="Calibri"/>
        <family val="2"/>
        <scheme val="minor"/>
      </rPr>
      <t xml:space="preserve"> customer, </t>
    </r>
    <r>
      <rPr>
        <b/>
        <sz val="11"/>
        <color theme="1"/>
        <rFont val="Calibri"/>
        <family val="2"/>
        <scheme val="minor"/>
      </rPr>
      <t>I want to</t>
    </r>
    <r>
      <rPr>
        <sz val="11"/>
        <color theme="1"/>
        <rFont val="Calibri"/>
        <family val="2"/>
        <scheme val="minor"/>
      </rPr>
      <t xml:space="preserve"> answer a questionnaire, and after processing, receive my detected skin concerns, allergies, contraindications and skin properties (?),</t>
    </r>
    <r>
      <rPr>
        <b/>
        <sz val="11"/>
        <color theme="1"/>
        <rFont val="Calibri"/>
        <family val="2"/>
        <scheme val="minor"/>
      </rPr>
      <t>so that</t>
    </r>
    <r>
      <rPr>
        <sz val="11"/>
        <color theme="1"/>
        <rFont val="Calibri"/>
        <family val="2"/>
        <scheme val="minor"/>
      </rPr>
      <t xml:space="preserve"> system understands my entire skin profile for formulation reccomendation ( bases)</t>
    </r>
  </si>
  <si>
    <t>Response to frontend</t>
  </si>
  <si>
    <t>Return json containing detected skin concerns, allergies , and other relevant properties , to the front end.</t>
  </si>
  <si>
    <t>Expected MVP showcase</t>
  </si>
  <si>
    <t>Expected Skin concern detection showcase</t>
  </si>
  <si>
    <t>Return Frontend Response</t>
  </si>
  <si>
    <t xml:space="preserve">return response </t>
  </si>
  <si>
    <t>I want to</t>
  </si>
  <si>
    <t>So that</t>
  </si>
  <si>
    <t>Logged in Customer</t>
  </si>
  <si>
    <t>I can view my reccomendation page with the following fields:
1. Hello "user_full_name"! 
2. Skin analysis results : Primary Concerns : only those detected through selfie
3. Reccomended for you : Active Ingredients: only those detected through selfie skin concerns.
4. Reccomended for you: Why this formula: explained by LLM for selected actives detected through selfie skin concerns</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</si>
  <si>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</si>
  <si>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</si>
  <si>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</si>
  <si>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r>
      <t xml:space="preserve">upload an acceptable quality picture of my skin 
and press on </t>
    </r>
    <r>
      <rPr>
        <b/>
        <sz val="11"/>
        <color theme="1"/>
        <rFont val="Calibri"/>
        <family val="2"/>
        <scheme val="minor"/>
      </rPr>
      <t>submit</t>
    </r>
    <r>
      <rPr>
        <sz val="11"/>
        <color theme="1"/>
        <rFont val="Calibri"/>
        <family val="2"/>
        <scheme val="minor"/>
      </rPr>
      <t xml:space="preserve"> button</t>
    </r>
  </si>
  <si>
    <t>Identify User ID &amp; Session ID</t>
  </si>
  <si>
    <t>Product Backlog</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</si>
  <si>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</si>
  <si>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</si>
  <si>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</si>
  <si>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I can view my reccomendation page with the following fields:
1. Hello "user_full_name"! 
2. Skin analysis results : Primary Concerns : only those detected through selfie.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</si>
  <si>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</si>
  <si>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</si>
  <si>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</si>
  <si>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</si>
  <si>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</si>
  <si>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</si>
  <si>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</si>
  <si>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</si>
  <si>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</si>
  <si>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todo/wip/done - states</t>
  </si>
  <si>
    <t xml:space="preserve">As a </t>
  </si>
  <si>
    <t>I can add the reccomended formulation to my shopping cart .</t>
  </si>
  <si>
    <r>
      <t xml:space="preserve">1. Detected skin concerns should be from the series:
SC0001 - SC0019 &amp; SC1001 - SC1009
2. If no skin concern is detected (perfectly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3. If the image contains one or multiple particular skin concerns then, all of those should be shown in the Skin analysis results: Primary Concerns.
4. No other skin concerns should be shown in the Skin analysis results: Primary Concerns other than the ones really existing in the images.</t>
    </r>
  </si>
  <si>
    <t>Story Point</t>
  </si>
  <si>
    <t>User Story Id</t>
  </si>
  <si>
    <t xml:space="preserve">User Story Id </t>
  </si>
  <si>
    <t>User Story ID</t>
  </si>
  <si>
    <t xml:space="preserve">Status </t>
  </si>
  <si>
    <t xml:space="preserve">Receive image from frontend </t>
  </si>
  <si>
    <t>Validate Image filetype</t>
  </si>
  <si>
    <t>Validate image can be decoded/read</t>
  </si>
  <si>
    <t>Validate image resolution</t>
  </si>
  <si>
    <t>Calculate Image sharpness score</t>
  </si>
  <si>
    <t>Define blur rejection threshold</t>
  </si>
  <si>
    <t>Calculate image brightness/lighting score</t>
  </si>
  <si>
    <t>Define low light rejection threshold</t>
  </si>
  <si>
    <t>Define minimum resolution threshold</t>
  </si>
  <si>
    <t>Combine image quality checks into a single validation test</t>
  </si>
  <si>
    <t>Implement blurry image rejection</t>
  </si>
  <si>
    <t>Implement low light rejection</t>
  </si>
  <si>
    <t>Implement low resolution rejection</t>
  </si>
  <si>
    <t>Implement combined-quality rejection</t>
  </si>
  <si>
    <t xml:space="preserve">Implement valid-image acceptance </t>
  </si>
  <si>
    <t>Define image validation response schema</t>
  </si>
  <si>
    <t xml:space="preserve">Return validation response to frontend </t>
  </si>
  <si>
    <t>Map invalid image-response to frontend error message</t>
  </si>
  <si>
    <t>Redirect user to selfie capture page after rejection</t>
  </si>
  <si>
    <t>Display "Your image is not valid. Take another image with better quality"</t>
  </si>
  <si>
    <t>Normalize accepted image</t>
  </si>
  <si>
    <t>Resize Image for Vission LLM input</t>
  </si>
  <si>
    <t>Apply required image format conversion</t>
  </si>
  <si>
    <t>Validate preprocessing output</t>
  </si>
  <si>
    <t>Store/forward processed image to vision LLM</t>
  </si>
  <si>
    <t>Define Vision LLM Output JSON</t>
  </si>
  <si>
    <t>Define image analysis instructions</t>
  </si>
  <si>
    <t>Define Vision LLM System Prompt</t>
  </si>
  <si>
    <t>Define skin concern detection rules</t>
  </si>
  <si>
    <t>Restrict model output to supported skin concern IDS</t>
  </si>
  <si>
    <t>Define "no concern" behaviors</t>
  </si>
  <si>
    <t>Add hallucination prevention instructions</t>
  </si>
  <si>
    <t>Add JSON only response instruction</t>
  </si>
  <si>
    <t>Implement Vision LLM API Call</t>
  </si>
  <si>
    <t>Pass preprocessed image to Vision LLM</t>
  </si>
  <si>
    <t xml:space="preserve">Validate Vision LLM response against JSON Schema </t>
  </si>
  <si>
    <t>Handle malformed LLM response</t>
  </si>
  <si>
    <t>Handle LLM timeout/API failure</t>
  </si>
  <si>
    <t>Store/audit Vision LLM request and response</t>
  </si>
  <si>
    <t>Validate returned concern IDs against SC0001-SC0019</t>
  </si>
  <si>
    <t>Validate returned concern IDs against SC1001-SC1009</t>
  </si>
  <si>
    <t>Remove unsupported concern IDs</t>
  </si>
  <si>
    <t>Handle duplicate concern IDs</t>
  </si>
  <si>
    <t>Handle empty concern list</t>
  </si>
  <si>
    <t>Define Skin analysis response schema</t>
  </si>
  <si>
    <t>Serialize detected concerns to JSON</t>
  </si>
  <si>
    <t>Return detected concerns to frontend</t>
  </si>
  <si>
    <t>Return user full name</t>
  </si>
  <si>
    <t>Return "Your skin looks perfect!" when no concerns exist</t>
  </si>
  <si>
    <t>Return detected concerns under Primary Concerns</t>
  </si>
  <si>
    <t>Map concern IDs to display names</t>
  </si>
  <si>
    <t>Display primary concerns on reccomendation page</t>
  </si>
  <si>
    <t>Display perfect skin message when concern list is empty</t>
  </si>
  <si>
    <t>Verify only model-detected concerns are displayed</t>
  </si>
  <si>
    <t>Define Questionnaire concern extraction JSON schema</t>
  </si>
  <si>
    <t>Define skin concern field</t>
  </si>
  <si>
    <t>Define skin type field</t>
  </si>
  <si>
    <t>Define sensitivity field</t>
  </si>
  <si>
    <t>Define Allergen field</t>
  </si>
  <si>
    <t>Define base preference field</t>
  </si>
  <si>
    <t>Define allowed values for each field</t>
  </si>
  <si>
    <t>Define Questionnaire concern extraction prompt</t>
  </si>
  <si>
    <t>Map questionnaire answers into prompt variables</t>
  </si>
  <si>
    <t>Define concern extraction rules</t>
  </si>
  <si>
    <t>Define allergen extraction rules</t>
  </si>
  <si>
    <t>Define skin type extraction rules</t>
  </si>
  <si>
    <t>Define sensitivity extraction rules</t>
  </si>
  <si>
    <t>Add JSON only output instruction</t>
  </si>
  <si>
    <t>Implement Questionnaire LLM call</t>
  </si>
  <si>
    <t>Validate questionnaire response schema</t>
  </si>
  <si>
    <t>Handle LLM failure</t>
  </si>
  <si>
    <t>Store/audit questionnaire extraction event</t>
  </si>
  <si>
    <t>Define active-to-exclusion relationsip table</t>
  </si>
  <si>
    <t>Write database migration</t>
  </si>
  <si>
    <t>Seed allergen/exclusion master data</t>
  </si>
  <si>
    <t>Validate seed data</t>
  </si>
  <si>
    <t>Map questionnaire allergen values to master allergen IDs</t>
  </si>
  <si>
    <t>Define concern-fusion input schema</t>
  </si>
  <si>
    <t>Normalize concern IDs</t>
  </si>
  <si>
    <t>Merge questionnaire and image concern lists</t>
  </si>
  <si>
    <t>Remove duplicate concerns</t>
  </si>
  <si>
    <t>Validate merged concerns</t>
  </si>
  <si>
    <t>Store final fused concern list</t>
  </si>
  <si>
    <t>Define empty-concern behaviour</t>
  </si>
  <si>
    <t>Define vector-search input</t>
  </si>
  <si>
    <t>Implement vector DB candidate retrieval</t>
  </si>
  <si>
    <t>Define candidate top-K</t>
  </si>
  <si>
    <t>Validate retrieved candidates</t>
  </si>
  <si>
    <t>Filter candidates by skin type</t>
  </si>
  <si>
    <t>Filter candidates by climate</t>
  </si>
  <si>
    <t>Filter candidates by acne suitability</t>
  </si>
  <si>
    <t>Filter incompatible active/base combinations</t>
  </si>
  <si>
    <t>Load user's normalized exclusions</t>
  </si>
  <si>
    <t>Match exclusions against candidate ingredients</t>
  </si>
  <si>
    <t>Remove excluded actives</t>
  </si>
  <si>
    <t>Remove excluded bases</t>
  </si>
  <si>
    <t>Record exclusion reason</t>
  </si>
  <si>
    <t>Verify no excluded ingredient remains</t>
  </si>
  <si>
    <t>Create candidate audit structure</t>
  </si>
  <si>
    <t>Store retrieved candidates</t>
  </si>
  <si>
    <t>Store removed candidates</t>
  </si>
  <si>
    <t>Store exclusion reasons</t>
  </si>
  <si>
    <t>Store final candidate set</t>
  </si>
  <si>
    <t>Validate final candidate set</t>
  </si>
  <si>
    <t>Define active ingredient representation</t>
  </si>
  <si>
    <t>Define base representation</t>
  </si>
  <si>
    <t>Define concern representation</t>
  </si>
  <si>
    <t>Define compatibility information</t>
  </si>
  <si>
    <t>Define exclusion information</t>
  </si>
  <si>
    <t>Define cost information</t>
  </si>
  <si>
    <t>Serialize candidate shortlist to JSON</t>
  </si>
  <si>
    <t>Draft formulation prompt template</t>
  </si>
  <si>
    <t>Define formulation constraints</t>
  </si>
  <si>
    <t>Define 100g formulation requirement</t>
  </si>
  <si>
    <t>Define active percentage requirements</t>
  </si>
  <si>
    <t>Define compatibility requirements</t>
  </si>
  <si>
    <t>Define exclusion requirements</t>
  </si>
  <si>
    <t>Define concern-to-active reasoning requirements</t>
  </si>
  <si>
    <t>Define cost calculation requirements</t>
  </si>
  <si>
    <t>Add JSON-only output instruction</t>
  </si>
  <si>
    <t>Define formulation output JSON schema</t>
  </si>
  <si>
    <t>Define formulation ID</t>
  </si>
  <si>
    <t>Define selected actives</t>
  </si>
  <si>
    <t>Define active percentages</t>
  </si>
  <si>
    <t>Define selected base</t>
  </si>
  <si>
    <t>Define quantities</t>
  </si>
  <si>
    <t>Define formulation weight</t>
  </si>
  <si>
    <t>Define formulation cost</t>
  </si>
  <si>
    <t>Define explanation</t>
  </si>
  <si>
    <t>Define validation/error fields</t>
  </si>
  <si>
    <t>Validate output against schema</t>
  </si>
  <si>
    <t>Handle malformed response</t>
  </si>
  <si>
    <t>Implement formulation LLM call</t>
  </si>
  <si>
    <r>
      <t xml:space="preserve">Define </t>
    </r>
    <r>
      <rPr>
        <b/>
        <sz val="11"/>
        <color theme="1"/>
        <rFont val="Calibri"/>
        <family val="2"/>
        <scheme val="minor"/>
      </rPr>
      <t>shortlist_json</t>
    </r>
    <r>
      <rPr>
        <sz val="11"/>
        <color theme="1"/>
        <rFont val="Calibri"/>
        <family val="2"/>
        <scheme val="minor"/>
      </rPr>
      <t xml:space="preserve"> schema</t>
    </r>
  </si>
  <si>
    <r>
      <t xml:space="preserve">Validate </t>
    </r>
    <r>
      <rPr>
        <b/>
        <sz val="11"/>
        <color theme="1"/>
        <rFont val="Calibri"/>
        <family val="2"/>
        <scheme val="minor"/>
      </rPr>
      <t>shortlist_json</t>
    </r>
  </si>
  <si>
    <r>
      <t xml:space="preserve">Pass </t>
    </r>
    <r>
      <rPr>
        <b/>
        <sz val="11"/>
        <color theme="1"/>
        <rFont val="Calibri"/>
        <family val="2"/>
        <scheme val="minor"/>
      </rPr>
      <t>shortlist_json</t>
    </r>
  </si>
  <si>
    <t>Validate formulation total weight = 100g</t>
  </si>
  <si>
    <t>Validate active percentages</t>
  </si>
  <si>
    <t>Validate active quantities</t>
  </si>
  <si>
    <t>Validate base quantity</t>
  </si>
  <si>
    <t>Validate active/base compatibility</t>
  </si>
  <si>
    <t>Validate skin-concern relevance</t>
  </si>
  <si>
    <t>Validate allergen exclusions</t>
  </si>
  <si>
    <t>Validate ingredient suitability</t>
  </si>
  <si>
    <t>Calculate total formulation cost</t>
  </si>
  <si>
    <t>Validate LLM-calculated cost against DB cost</t>
  </si>
  <si>
    <t>Reject invalid formulation</t>
  </si>
  <si>
    <t>Trigger formulation regeneration/fallback for invalid formulation</t>
  </si>
  <si>
    <t>Define audit event types</t>
  </si>
  <si>
    <t>Define image-analysis audit payload</t>
  </si>
  <si>
    <t>Define questionnaire-analysis audit payload</t>
  </si>
  <si>
    <t>Define formulation audit payload</t>
  </si>
  <si>
    <t>Define request metadata</t>
  </si>
  <si>
    <t>Define response metadata</t>
  </si>
  <si>
    <t>Define model/version metadata</t>
  </si>
  <si>
    <t>Define timestamp/session identifiers</t>
  </si>
  <si>
    <t>Implement image LLM logging</t>
  </si>
  <si>
    <t>Implement questionnaire LLM logging</t>
  </si>
  <si>
    <t>Implement formulation LLM logging</t>
  </si>
  <si>
    <t>Implement LLM error logging</t>
  </si>
  <si>
    <t>Define final recommendation response schema</t>
  </si>
  <si>
    <t>Add user full name</t>
  </si>
  <si>
    <t>Add primary skin concerns</t>
  </si>
  <si>
    <t>Add skin type</t>
  </si>
  <si>
    <t>Add sensitivity level</t>
  </si>
  <si>
    <t>Add allergens</t>
  </si>
  <si>
    <t>Add recommended base</t>
  </si>
  <si>
    <t>Add active ingredients</t>
  </si>
  <si>
    <t>Add active percentages</t>
  </si>
  <si>
    <t>Add ingredient quantities</t>
  </si>
  <si>
    <t>Add formulation weight</t>
  </si>
  <si>
    <t>Add formulation cost</t>
  </si>
  <si>
    <t>Add formulation explanation</t>
  </si>
  <si>
    <t>Add formulation ID</t>
  </si>
  <si>
    <t>Implement DB → response serialization</t>
  </si>
  <si>
    <t>Serialize formulation data</t>
  </si>
  <si>
    <t>Serialize concern data</t>
  </si>
  <si>
    <t>Serialize questionnaire data</t>
  </si>
  <si>
    <t>Serialize cost data</t>
  </si>
  <si>
    <t>Validate final response schema</t>
  </si>
  <si>
    <t>Define recommendation error schema</t>
  </si>
  <si>
    <t>Define no-compatible-formulation response</t>
  </si>
  <si>
    <t>Define LLM failure response</t>
  </si>
  <si>
    <t>Define database failure response</t>
  </si>
  <si>
    <t>Define invalid-formulation response</t>
  </si>
  <si>
    <t>Implement fallback response</t>
  </si>
  <si>
    <t>Display user name</t>
  </si>
  <si>
    <t>Display primary skin concerns</t>
  </si>
  <si>
    <t>Display perfect-skin message when applicable</t>
  </si>
  <si>
    <t>Display skin type</t>
  </si>
  <si>
    <t>Display allergens</t>
  </si>
  <si>
    <t>Display sensitivity level</t>
  </si>
  <si>
    <t>Display recommended base</t>
  </si>
  <si>
    <t>Display active ingredients</t>
  </si>
  <si>
    <t>Display active percentages</t>
  </si>
  <si>
    <t>Display formulation explanation</t>
  </si>
  <si>
    <t>Display total cost</t>
  </si>
  <si>
    <t>Display formulation ID/status if required</t>
  </si>
  <si>
    <t xml:space="preserve">1.2
</t>
  </si>
  <si>
    <t>Identify required Shopify API capabilities</t>
  </si>
  <si>
    <t>Identify Shopify product/cart model</t>
  </si>
  <si>
    <t>Determine how formulation metadata can be stored</t>
  </si>
  <si>
    <t>Determine authentication requirements</t>
  </si>
  <si>
    <t>Create Shopify API proof of concept</t>
  </si>
  <si>
    <t>Create test product/variant</t>
  </si>
  <si>
    <t>Add test item to cart</t>
  </si>
  <si>
    <t>Retrieve cart</t>
  </si>
  <si>
    <t>Confirm custom formulation data can be persisted</t>
  </si>
  <si>
    <t>Define saved formulation schema</t>
  </si>
  <si>
    <t>Define formulation-to-user relationship</t>
  </si>
  <si>
    <t>Define formulation-to-cart relationship</t>
  </si>
  <si>
    <t>Store formulation ID</t>
  </si>
  <si>
    <t>Store formulation ingredients</t>
  </si>
  <si>
    <t>Store ingredient quantities</t>
  </si>
  <si>
    <t>Store base</t>
  </si>
  <si>
    <t>Store formulation cost</t>
  </si>
  <si>
    <t>Store formulation snapshot/version</t>
  </si>
  <si>
    <t>Implement formulation persistence</t>
  </si>
  <si>
    <t>Define add-to-cart request schema</t>
  </si>
  <si>
    <t>Validate formulation ID</t>
  </si>
  <si>
    <t>Retrieve formulation</t>
  </si>
  <si>
    <t>Verify formulation belongs to logged-in user</t>
  </si>
  <si>
    <t>Verify formulation is valid</t>
  </si>
  <si>
    <t>Create Shopify cart item</t>
  </si>
  <si>
    <t>Attach formulation metadata</t>
  </si>
  <si>
    <t>Save cart/formulation relationship</t>
  </si>
  <si>
    <t>Return cart response</t>
  </si>
  <si>
    <t>Implement Add to Cart button</t>
  </si>
  <si>
    <t>Disable button while request is processing</t>
  </si>
  <si>
    <t>Call add-to-cart API</t>
  </si>
  <si>
    <t>Handle successful response</t>
  </si>
  <si>
    <t>Display success state</t>
  </si>
  <si>
    <t>Handle add-to-cart failure</t>
  </si>
  <si>
    <t>Prevent duplicate submissions</t>
  </si>
  <si>
    <t>Define allergen/exclusion master table</t>
  </si>
  <si>
    <t>Define base-to-exclusion relationship table</t>
  </si>
  <si>
    <t>Seed active ingredient -&gt; exclusion mapping</t>
  </si>
  <si>
    <t>Seed base -&gt; exclusion mappings</t>
  </si>
  <si>
    <t>Store image analysis result against current session</t>
  </si>
  <si>
    <t>Store questionnaire extraction result against current session</t>
  </si>
  <si>
    <t>Store questionnaire-derived exclusions for the current session</t>
  </si>
  <si>
    <t>Define candidate retrieval query</t>
  </si>
  <si>
    <t>Retrieve candidate actives</t>
  </si>
  <si>
    <t>Retrieve candidate bases</t>
  </si>
  <si>
    <t>Verify formulation references only ingredients present in shortlist</t>
  </si>
  <si>
    <t>Store formulation explanation</t>
  </si>
  <si>
    <t>Validate selected base exists in shortlist</t>
  </si>
  <si>
    <t>Store active ingredient percentages</t>
  </si>
  <si>
    <t>Retrieve and validate ingredient cost/g from db</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</si>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</sst>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font>
      <sz val="11"/>
      <color theme="1"/>
      <name val="Calibri"/>
      <family val="2"/>
      <scheme val="minor"/>
    </font>
    <font>
      <b/>
      <sz val="11"/>
      <color theme="1"/>
      <name val="Calibri"/>
      <family val="2"/>
      <scheme val="minor"/>
    </font>
    <font>
      <sz val="11"/>
      <color rgb="FFFF0000"/>
      <name val="Calibri"/>
      <family val="2"/>
      <scheme val="minor"/>
    </font>
    <font>
      <sz val="11"/>
      <name val="Calibri"/>
      <family val="2"/>
      <scheme val="minor"/>
    </font>
    <font>
      <sz val="10"/>
      <color theme="1"/>
      <name val="Arial Unicode MS"/>
    </font>
    <font>
      <sz val="11"/>
      <color rgb="FFC00000"/>
      <name val="Calibri"/>
      <family val="2"/>
      <scheme val="minor"/>
    </font>
    <font>
      <sz val="11"/>
      <color theme="5"/>
      <name val="Calibri"/>
      <family val="2"/>
      <scheme val="minor"/>
    </font>
    <font>
      <sz val="11"/>
      <color rgb="FF00B0F0"/>
      <name val="Calibri"/>
      <family val="2"/>
      <scheme val="minor"/>
    </font>
  </fonts>
  <fills count="1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91">
    <xf numFmtId="0" fontId="0" fillId="0" borderId="0" xfId="0"/>
    <xf numFmtId="0" fontId="0" fillId="0" borderId="0" xfId="0" applyAlignment="1">
      <alignment vertical="top" wrapText="1"/>
    </xf>
    <xf numFmtId="0" fontId="1" fillId="2" borderId="0" xfId="0" applyFont="1" applyFill="1" applyAlignment="1">
      <alignment vertical="top" wrapText="1"/>
    </xf>
    <xf numFmtId="16" fontId="0" fillId="0" borderId="0" xfId="0" applyNumberFormat="1" applyAlignment="1">
      <alignment vertical="top" wrapText="1"/>
    </xf>
    <xf numFmtId="0" fontId="2" fillId="0" borderId="0" xfId="0" applyFont="1" applyAlignment="1">
      <alignment vertical="top" wrapText="1"/>
    </xf>
    <xf numFmtId="16" fontId="2" fillId="0" borderId="0" xfId="0" applyNumberFormat="1" applyFont="1" applyAlignment="1">
      <alignment vertical="top" wrapText="1"/>
    </xf>
    <xf numFmtId="0" fontId="0" fillId="3" borderId="1" xfId="0" applyFill="1" applyBorder="1" applyAlignment="1">
      <alignment vertical="top" wrapText="1"/>
    </xf>
    <xf numFmtId="16" fontId="0" fillId="3" borderId="1" xfId="0" applyNumberFormat="1" applyFill="1" applyBorder="1" applyAlignment="1">
      <alignment vertical="top" wrapText="1"/>
    </xf>
    <xf numFmtId="0" fontId="3" fillId="3" borderId="1" xfId="0" applyFont="1" applyFill="1" applyBorder="1" applyAlignment="1">
      <alignment vertical="top" wrapText="1"/>
    </xf>
    <xf numFmtId="16" fontId="3" fillId="3" borderId="1" xfId="0" applyNumberFormat="1" applyFont="1" applyFill="1" applyBorder="1" applyAlignment="1">
      <alignment vertical="top" wrapText="1"/>
    </xf>
    <xf numFmtId="0" fontId="0" fillId="4" borderId="0" xfId="0" applyFill="1" applyAlignment="1">
      <alignment vertical="top" wrapText="1"/>
    </xf>
    <xf numFmtId="0" fontId="3" fillId="4" borderId="0" xfId="0" applyFont="1" applyFill="1" applyAlignment="1">
      <alignment vertical="top" wrapText="1"/>
    </xf>
    <xf numFmtId="0" fontId="0" fillId="3" borderId="1" xfId="0" applyFill="1" applyBorder="1"/>
    <xf numFmtId="0" fontId="0" fillId="0" borderId="0" xfId="0" applyAlignment="1">
      <alignment wrapText="1"/>
    </xf>
    <xf numFmtId="0" fontId="0" fillId="0" borderId="0" xfId="0" applyAlignment="1">
      <alignment horizontal="center" vertical="center"/>
    </xf>
    <xf numFmtId="0" fontId="1" fillId="0" borderId="0" xfId="0" applyFont="1"/>
    <xf numFmtId="0" fontId="1" fillId="0" borderId="0" xfId="0" applyFont="1" applyAlignment="1">
      <alignment horizontal="center" vertical="center"/>
    </xf>
    <xf numFmtId="0" fontId="1" fillId="0" borderId="0" xfId="0" applyFont="1" applyAlignment="1">
      <alignment horizontal="center" vertical="center" wrapText="1"/>
    </xf>
    <xf numFmtId="0" fontId="0" fillId="6" borderId="0" xfId="0" applyFill="1"/>
    <xf numFmtId="0" fontId="0" fillId="6" borderId="0" xfId="0" applyFill="1" applyAlignment="1">
      <alignment wrapText="1"/>
    </xf>
    <xf numFmtId="0" fontId="2" fillId="6" borderId="0" xfId="0" applyFont="1" applyFill="1" applyAlignment="1">
      <alignment wrapText="1"/>
    </xf>
    <xf numFmtId="14" fontId="0" fillId="0" borderId="0" xfId="0" applyNumberFormat="1"/>
    <xf numFmtId="14" fontId="0" fillId="0" borderId="0" xfId="0" applyNumberFormat="1" applyAlignment="1">
      <alignment horizontal="center" vertical="center"/>
    </xf>
    <xf numFmtId="0" fontId="0" fillId="3" borderId="0" xfId="0" applyFill="1" applyAlignment="1">
      <alignment horizontal="center"/>
    </xf>
    <xf numFmtId="0" fontId="0" fillId="3" borderId="0" xfId="0" applyFill="1" applyAlignment="1">
      <alignment horizontal="center" vertical="center"/>
    </xf>
    <xf numFmtId="0" fontId="0" fillId="3" borderId="0" xfId="0" applyFill="1"/>
    <xf numFmtId="14" fontId="0" fillId="3" borderId="0" xfId="0" applyNumberFormat="1" applyFill="1" applyAlignment="1">
      <alignment horizontal="center" vertical="center"/>
    </xf>
    <xf numFmtId="18" fontId="0" fillId="3" borderId="0" xfId="0" applyNumberFormat="1" applyFill="1" applyAlignment="1">
      <alignment horizontal="center" vertical="center"/>
    </xf>
    <xf numFmtId="0" fontId="0" fillId="3" borderId="0" xfId="0" applyFill="1" applyAlignment="1">
      <alignment wrapText="1"/>
    </xf>
    <xf numFmtId="16" fontId="0" fillId="3" borderId="0" xfId="0" applyNumberFormat="1" applyFill="1" applyAlignment="1">
      <alignment horizontal="center"/>
    </xf>
    <xf numFmtId="18" fontId="0" fillId="3" borderId="0" xfId="0" applyNumberFormat="1" applyFill="1" applyAlignment="1">
      <alignment horizontal="center"/>
    </xf>
    <xf numFmtId="0" fontId="0" fillId="0" borderId="0" xfId="0" applyAlignment="1">
      <alignment horizontal="center" vertical="center" wrapText="1"/>
    </xf>
    <xf numFmtId="0" fontId="0" fillId="0" borderId="0" xfId="0" applyAlignment="1">
      <alignment horizontal="left" wrapText="1"/>
    </xf>
    <xf numFmtId="0" fontId="0" fillId="0" borderId="0" xfId="0" applyAlignment="1">
      <alignment vertical="center"/>
    </xf>
    <xf numFmtId="0" fontId="0" fillId="7" borderId="0" xfId="0" applyFill="1" applyAlignment="1">
      <alignment horizontal="center"/>
    </xf>
    <xf numFmtId="0" fontId="0" fillId="7" borderId="0" xfId="0" applyFill="1" applyAlignment="1">
      <alignment horizontal="center" vertical="center" wrapText="1"/>
    </xf>
    <xf numFmtId="0" fontId="0" fillId="7" borderId="0" xfId="0" applyFill="1" applyAlignment="1">
      <alignment horizontal="center" vertical="center"/>
    </xf>
    <xf numFmtId="0" fontId="0" fillId="7" borderId="0" xfId="0" applyFill="1"/>
    <xf numFmtId="14" fontId="0" fillId="7" borderId="0" xfId="0" applyNumberFormat="1" applyFill="1" applyAlignment="1">
      <alignment horizontal="center" vertical="center"/>
    </xf>
    <xf numFmtId="0" fontId="0" fillId="0" borderId="1" xfId="0" applyBorder="1" applyAlignment="1">
      <alignment horizontal="left" wrapText="1"/>
    </xf>
    <xf numFmtId="0" fontId="2" fillId="6" borderId="1" xfId="0" applyFont="1" applyFill="1" applyBorder="1" applyAlignment="1">
      <alignment horizontal="left" wrapText="1"/>
    </xf>
    <xf numFmtId="0" fontId="0" fillId="0" borderId="1" xfId="0" applyBorder="1" applyAlignment="1">
      <alignment wrapText="1"/>
    </xf>
    <xf numFmtId="0" fontId="0" fillId="0" borderId="2" xfId="0" applyBorder="1" applyAlignment="1">
      <alignment wrapText="1"/>
    </xf>
    <xf numFmtId="0" fontId="0" fillId="0" borderId="2" xfId="0" applyBorder="1" applyAlignment="1">
      <alignment horizontal="left" wrapText="1"/>
    </xf>
    <xf numFmtId="0" fontId="0" fillId="0" borderId="3" xfId="0" applyBorder="1" applyAlignment="1">
      <alignment wrapText="1"/>
    </xf>
    <xf numFmtId="0" fontId="0" fillId="0" borderId="3" xfId="0" applyBorder="1" applyAlignment="1">
      <alignment horizontal="left" wrapText="1"/>
    </xf>
    <xf numFmtId="0" fontId="0" fillId="7" borderId="4" xfId="0" applyFill="1" applyBorder="1" applyAlignment="1">
      <alignment horizontal="left" wrapText="1"/>
    </xf>
    <xf numFmtId="0" fontId="1" fillId="8" borderId="0" xfId="0" applyFont="1" applyFill="1" applyAlignment="1">
      <alignment horizontal="center" vertical="center"/>
    </xf>
    <xf numFmtId="0" fontId="1" fillId="8" borderId="0" xfId="0" applyFont="1" applyFill="1" applyAlignment="1">
      <alignment horizontal="center" vertical="center" wrapText="1"/>
    </xf>
    <xf numFmtId="14" fontId="1" fillId="8" borderId="0" xfId="0" applyNumberFormat="1" applyFont="1" applyFill="1" applyAlignment="1">
      <alignment horizontal="center" vertical="center"/>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9" borderId="0" xfId="0" applyFont="1" applyFill="1"/>
    <xf numFmtId="0" fontId="1" fillId="9" borderId="0" xfId="0" applyFont="1" applyFill="1" applyAlignment="1">
      <alignment vertical="center"/>
    </xf>
    <xf numFmtId="0" fontId="1" fillId="9" borderId="1" xfId="0" applyFont="1" applyFill="1" applyBorder="1" applyAlignment="1">
      <alignment horizontal="left" wrapText="1"/>
    </xf>
    <xf numFmtId="0" fontId="0" fillId="0" borderId="5" xfId="0" applyBorder="1" applyAlignment="1">
      <alignment horizontal="left" wrapText="1"/>
    </xf>
    <xf numFmtId="0" fontId="0" fillId="0" borderId="0" xfId="0" applyAlignment="1">
      <alignment horizontal="left" vertical="top" wrapText="1"/>
    </xf>
    <xf numFmtId="0" fontId="0" fillId="0" borderId="0" xfId="0" applyAlignment="1">
      <alignment vertical="center" wrapText="1"/>
    </xf>
    <xf numFmtId="0" fontId="1" fillId="10" borderId="0" xfId="0" applyFont="1" applyFill="1"/>
    <xf numFmtId="0" fontId="0" fillId="10" borderId="0" xfId="0" applyFill="1"/>
    <xf numFmtId="14" fontId="0" fillId="0" borderId="0" xfId="0" applyNumberFormat="1" applyAlignment="1">
      <alignment vertical="center"/>
    </xf>
    <xf numFmtId="0" fontId="0" fillId="0" borderId="0" xfId="0" applyAlignment="1">
      <alignment horizontal="left" vertical="top"/>
    </xf>
    <xf numFmtId="0" fontId="0" fillId="0" borderId="1" xfId="0" applyBorder="1"/>
    <xf numFmtId="0" fontId="0" fillId="10" borderId="1" xfId="0" applyFill="1" applyBorder="1"/>
    <xf numFmtId="0" fontId="0" fillId="11" borderId="1" xfId="0" applyFill="1" applyBorder="1"/>
    <xf numFmtId="0" fontId="0" fillId="0" borderId="0" xfId="0" applyAlignment="1">
      <alignment vertical="top"/>
    </xf>
    <xf numFmtId="0" fontId="7" fillId="0" borderId="0" xfId="0" applyFont="1" applyAlignment="1">
      <alignment wrapText="1"/>
    </xf>
    <xf numFmtId="0" fontId="0" fillId="0" borderId="0" xfId="0" applyAlignment="1">
      <alignment horizontal="right"/>
    </xf>
    <xf numFmtId="0" fontId="6" fillId="0" borderId="0" xfId="0" applyFont="1"/>
    <xf numFmtId="0" fontId="1" fillId="10" borderId="0" xfId="0" applyFont="1" applyFill="1" applyAlignment="1">
      <alignment wrapText="1"/>
    </xf>
    <xf numFmtId="0" fontId="0" fillId="0" borderId="0" xfId="0" applyAlignment="1">
      <alignment vertical="top"/>
    </xf>
    <xf numFmtId="0" fontId="1" fillId="11" borderId="0" xfId="0" applyFont="1" applyFill="1" applyAlignment="1">
      <alignment horizontal="center"/>
    </xf>
    <xf numFmtId="0" fontId="0" fillId="11" borderId="0" xfId="0" applyFill="1" applyAlignment="1">
      <alignment horizontal="center"/>
    </xf>
    <xf numFmtId="164" fontId="0" fillId="0" borderId="0" xfId="0" applyNumberFormat="1" applyAlignment="1">
      <alignment vertical="top"/>
    </xf>
    <xf numFmtId="2" fontId="0" fillId="0" borderId="0" xfId="0" applyNumberFormat="1" applyAlignment="1">
      <alignment vertical="top"/>
    </xf>
    <xf numFmtId="0" fontId="0" fillId="0" borderId="0" xfId="0" applyAlignment="1">
      <alignment vertical="top" wrapText="1"/>
    </xf>
    <xf numFmtId="0" fontId="0" fillId="0" borderId="0" xfId="0" applyAlignment="1">
      <alignment horizontal="right" vertical="top" wrapText="1"/>
    </xf>
    <xf numFmtId="0" fontId="0" fillId="3" borderId="0" xfId="0" applyFill="1" applyAlignment="1">
      <alignment horizontal="center" wrapText="1"/>
    </xf>
    <xf numFmtId="0" fontId="1" fillId="5" borderId="0" xfId="0" applyFont="1" applyFill="1" applyAlignment="1">
      <alignment horizontal="center"/>
    </xf>
    <xf numFmtId="0" fontId="0" fillId="0" borderId="0" xfId="0" applyAlignment="1">
      <alignment horizontal="center" vertical="center"/>
    </xf>
    <xf numFmtId="14" fontId="0" fillId="0" borderId="0" xfId="0" applyNumberFormat="1" applyAlignment="1">
      <alignment horizontal="center" vertical="center"/>
    </xf>
    <xf numFmtId="14" fontId="0" fillId="0" borderId="0" xfId="0" applyNumberFormat="1" applyAlignment="1">
      <alignment horizontal="center"/>
    </xf>
    <xf numFmtId="0" fontId="0" fillId="0" borderId="0" xfId="0" applyAlignment="1">
      <alignment horizontal="center"/>
    </xf>
    <xf numFmtId="16" fontId="0" fillId="0" borderId="0" xfId="0" applyNumberFormat="1" applyAlignment="1">
      <alignment horizontal="center"/>
    </xf>
    <xf numFmtId="0" fontId="1" fillId="10" borderId="0" xfId="0" applyFont="1" applyFill="1" applyAlignment="1">
      <alignment horizontal="center"/>
    </xf>
    <xf numFmtId="0" fontId="0" fillId="12" borderId="1" xfId="0" applyFill="1" applyBorder="1" applyAlignment="1">
      <alignment horizontal="center"/>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5" dT="2026-08-21T09:15:33.65" personId="{00000000-0000-0000-0000-000000000000}" id="{7A857420-A344-4A5B-B5A5-8DCCE0278C3D}">
    <text xml:space="preserve">Do we display all concerns or just top n 
</text>
  </threadedComment>
  <threadedComment ref="D153" dT="2026-08-21T10:26:11.01" personId="{00000000-0000-0000-0000-000000000000}" id="{62DF36E2-EA7C-49D8-8C48-B87BDEFAC85F}">
    <text xml:space="preserve">Do we need for MVP?
</text>
  </threadedComment>
</ThreadedComments>
</file>

<file path=xl/threadedComments/threadedComment2.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5"/>
  <sheetViews>
    <sheetView topLeftCell="A10" zoomScaleNormal="100" workbookViewId="0">
      <selection activeCell="F18" sqref="F18"/>
    </sheetView>
  </sheetViews>
  <sheetFormatPr defaultColWidth="9.109375" defaultRowHeight="14.4"/>
  <cols>
    <col min="1" max="1" width="9.109375" style="1"/>
    <col min="2" max="2" width="3.5546875" style="1" bestFit="1" customWidth="1"/>
    <col min="3" max="3" width="44" style="1" customWidth="1"/>
    <col min="4" max="4" width="10.5546875" style="1" bestFit="1" customWidth="1"/>
    <col min="5" max="5" width="8.88671875" style="1" bestFit="1" customWidth="1"/>
    <col min="6" max="6" width="54.21875" style="1" customWidth="1"/>
    <col min="7" max="16384" width="9.109375" style="1"/>
  </cols>
  <sheetData>
    <row r="1" spans="1:7" ht="28.8">
      <c r="A1" s="2" t="s">
        <v>8</v>
      </c>
      <c r="B1" s="2" t="s">
        <v>10</v>
      </c>
      <c r="C1" s="2" t="s">
        <v>5</v>
      </c>
      <c r="D1" s="2" t="s">
        <v>6</v>
      </c>
      <c r="E1" s="2" t="s">
        <v>2</v>
      </c>
      <c r="F1" s="2" t="s">
        <v>7</v>
      </c>
      <c r="G1" s="2" t="s">
        <v>14</v>
      </c>
    </row>
    <row r="2" spans="1:7" ht="28.8">
      <c r="A2" s="1" t="s">
        <v>9</v>
      </c>
      <c r="B2" s="1">
        <v>1</v>
      </c>
      <c r="C2" s="1" t="s">
        <v>0</v>
      </c>
      <c r="D2" s="1" t="s">
        <v>1</v>
      </c>
      <c r="E2" s="3">
        <v>46240</v>
      </c>
      <c r="G2" s="3">
        <v>46245</v>
      </c>
    </row>
    <row r="3" spans="1:7" ht="57.6">
      <c r="B3" s="1">
        <v>2</v>
      </c>
      <c r="C3" s="1" t="s">
        <v>33</v>
      </c>
      <c r="D3" s="1" t="s">
        <v>1</v>
      </c>
      <c r="E3" s="3">
        <v>46244</v>
      </c>
      <c r="F3" s="1" t="s">
        <v>3</v>
      </c>
      <c r="G3" s="3">
        <v>46245</v>
      </c>
    </row>
    <row r="4" spans="1:7" ht="28.8">
      <c r="B4" s="1">
        <v>3</v>
      </c>
      <c r="C4" s="1" t="s">
        <v>17</v>
      </c>
      <c r="D4" s="1" t="s">
        <v>31</v>
      </c>
      <c r="E4" s="3">
        <v>46240</v>
      </c>
      <c r="G4" s="3">
        <v>46248</v>
      </c>
    </row>
    <row r="5" spans="1:7" ht="28.8">
      <c r="B5" s="1">
        <v>4</v>
      </c>
      <c r="C5" s="1" t="s">
        <v>11</v>
      </c>
      <c r="D5" s="1" t="s">
        <v>31</v>
      </c>
      <c r="E5" s="3">
        <v>46240</v>
      </c>
      <c r="G5" s="3">
        <v>46248</v>
      </c>
    </row>
    <row r="6" spans="1:7" ht="28.8">
      <c r="B6" s="1">
        <v>5</v>
      </c>
      <c r="C6" s="1" t="s">
        <v>12</v>
      </c>
      <c r="D6" s="1" t="s">
        <v>31</v>
      </c>
      <c r="E6" s="3">
        <v>46240</v>
      </c>
      <c r="G6" s="3">
        <v>46248</v>
      </c>
    </row>
    <row r="7" spans="1:7" ht="28.8">
      <c r="B7" s="1">
        <v>6</v>
      </c>
      <c r="C7" s="1" t="s">
        <v>13</v>
      </c>
      <c r="D7" s="1" t="s">
        <v>31</v>
      </c>
      <c r="E7" s="3">
        <v>46240</v>
      </c>
      <c r="G7" s="3">
        <v>46262</v>
      </c>
    </row>
    <row r="8" spans="1:7" ht="28.8">
      <c r="B8" s="1">
        <v>7</v>
      </c>
      <c r="C8" s="1" t="s">
        <v>32</v>
      </c>
      <c r="D8" s="1" t="s">
        <v>31</v>
      </c>
      <c r="E8" s="3">
        <v>46240</v>
      </c>
      <c r="G8" s="3">
        <v>46262</v>
      </c>
    </row>
    <row r="9" spans="1:7" ht="28.8">
      <c r="A9" s="1" t="s">
        <v>4</v>
      </c>
      <c r="B9" s="1">
        <v>8</v>
      </c>
      <c r="C9" s="1" t="s">
        <v>15</v>
      </c>
      <c r="D9" s="1" t="s">
        <v>30</v>
      </c>
      <c r="E9" s="3">
        <v>46240</v>
      </c>
      <c r="F9" s="1" t="s">
        <v>16</v>
      </c>
      <c r="G9" s="3">
        <v>46248</v>
      </c>
    </row>
    <row r="10" spans="1:7" s="10" customFormat="1" ht="28.8">
      <c r="A10" s="6"/>
      <c r="B10" s="6">
        <v>9</v>
      </c>
      <c r="C10" s="6" t="s">
        <v>34</v>
      </c>
      <c r="D10" s="6"/>
      <c r="E10" s="7"/>
      <c r="F10" s="6" t="s">
        <v>35</v>
      </c>
      <c r="G10" s="7"/>
    </row>
    <row r="11" spans="1:7" ht="43.2">
      <c r="B11" s="1">
        <v>10</v>
      </c>
      <c r="C11" s="1" t="s">
        <v>18</v>
      </c>
      <c r="D11" s="1" t="s">
        <v>30</v>
      </c>
      <c r="E11" s="3">
        <v>46240</v>
      </c>
      <c r="F11" s="1" t="s">
        <v>19</v>
      </c>
      <c r="G11" s="3">
        <v>46248</v>
      </c>
    </row>
    <row r="12" spans="1:7" s="4" customFormat="1" ht="28.8">
      <c r="B12" s="4">
        <v>10</v>
      </c>
      <c r="C12" s="4" t="s">
        <v>20</v>
      </c>
      <c r="D12" s="4" t="s">
        <v>30</v>
      </c>
      <c r="E12" s="5">
        <v>46240</v>
      </c>
      <c r="F12" s="4" t="s">
        <v>21</v>
      </c>
      <c r="G12" s="5">
        <v>46248</v>
      </c>
    </row>
    <row r="13" spans="1:7" s="10" customFormat="1">
      <c r="A13" s="6"/>
      <c r="B13" s="6">
        <v>11</v>
      </c>
      <c r="C13" s="6" t="s">
        <v>36</v>
      </c>
      <c r="D13" s="6"/>
      <c r="E13" s="7"/>
      <c r="F13" s="6"/>
      <c r="G13" s="7"/>
    </row>
    <row r="14" spans="1:7" s="4" customFormat="1" ht="57.6">
      <c r="B14" s="4">
        <v>11</v>
      </c>
      <c r="C14" s="4" t="s">
        <v>22</v>
      </c>
      <c r="D14" s="4" t="s">
        <v>30</v>
      </c>
      <c r="E14" s="5">
        <v>46240</v>
      </c>
      <c r="F14" s="4" t="s">
        <v>23</v>
      </c>
      <c r="G14" s="5">
        <v>46248</v>
      </c>
    </row>
    <row r="15" spans="1:7" s="11" customFormat="1" ht="28.8">
      <c r="A15" s="8"/>
      <c r="B15" s="8">
        <v>12</v>
      </c>
      <c r="C15" s="8" t="s">
        <v>39</v>
      </c>
      <c r="D15" s="8"/>
      <c r="E15" s="9"/>
      <c r="F15" s="8"/>
      <c r="G15" s="9"/>
    </row>
    <row r="16" spans="1:7" ht="28.8">
      <c r="B16" s="1">
        <v>13</v>
      </c>
      <c r="C16" s="1" t="s">
        <v>41</v>
      </c>
      <c r="D16" s="1" t="s">
        <v>30</v>
      </c>
      <c r="E16" s="3">
        <v>46246</v>
      </c>
      <c r="G16" s="3">
        <v>46252</v>
      </c>
    </row>
    <row r="17" spans="1:7" s="4" customFormat="1" ht="28.8">
      <c r="B17" s="4">
        <v>13</v>
      </c>
      <c r="C17" s="4" t="s">
        <v>24</v>
      </c>
      <c r="D17" s="4" t="s">
        <v>30</v>
      </c>
      <c r="E17" s="5">
        <v>46251</v>
      </c>
      <c r="F17" s="4" t="s">
        <v>25</v>
      </c>
      <c r="G17" s="5">
        <v>46255</v>
      </c>
    </row>
    <row r="18" spans="1:7" s="10" customFormat="1" ht="72">
      <c r="A18" s="6"/>
      <c r="B18" s="6">
        <v>14</v>
      </c>
      <c r="C18" s="6" t="s">
        <v>37</v>
      </c>
      <c r="D18" s="6"/>
      <c r="E18" s="7"/>
      <c r="F18" s="6" t="s">
        <v>42</v>
      </c>
      <c r="G18" s="7"/>
    </row>
    <row r="19" spans="1:7" s="10" customFormat="1" ht="28.8">
      <c r="A19" s="6"/>
      <c r="B19" s="6">
        <v>15</v>
      </c>
      <c r="C19" s="6" t="s">
        <v>38</v>
      </c>
      <c r="D19" s="6"/>
      <c r="E19" s="7"/>
      <c r="F19" s="6" t="s">
        <v>40</v>
      </c>
      <c r="G19" s="7"/>
    </row>
    <row r="20" spans="1:7" s="4" customFormat="1" ht="28.8">
      <c r="B20" s="4">
        <v>14</v>
      </c>
      <c r="C20" s="4" t="s">
        <v>26</v>
      </c>
      <c r="D20" s="4" t="s">
        <v>30</v>
      </c>
      <c r="E20" s="5">
        <v>46251</v>
      </c>
      <c r="F20" s="4" t="s">
        <v>25</v>
      </c>
      <c r="G20" s="5">
        <v>46255</v>
      </c>
    </row>
    <row r="21" spans="1:7" s="4" customFormat="1" ht="28.8">
      <c r="A21" s="6"/>
      <c r="B21" s="6">
        <v>16</v>
      </c>
      <c r="C21" s="6" t="s">
        <v>43</v>
      </c>
      <c r="D21" s="6"/>
      <c r="E21" s="7"/>
      <c r="F21" s="6" t="s">
        <v>44</v>
      </c>
      <c r="G21" s="7"/>
    </row>
    <row r="22" spans="1:7" s="4" customFormat="1" ht="28.8">
      <c r="B22" s="4">
        <v>15</v>
      </c>
      <c r="C22" s="4" t="s">
        <v>27</v>
      </c>
      <c r="D22" s="4" t="s">
        <v>30</v>
      </c>
      <c r="E22" s="5">
        <v>46251</v>
      </c>
      <c r="F22" s="4" t="s">
        <v>25</v>
      </c>
      <c r="G22" s="5">
        <v>46255</v>
      </c>
    </row>
    <row r="23" spans="1:7" s="4" customFormat="1" ht="28.8">
      <c r="B23" s="4">
        <v>16</v>
      </c>
      <c r="C23" s="4" t="s">
        <v>28</v>
      </c>
      <c r="D23" s="4" t="s">
        <v>30</v>
      </c>
      <c r="E23" s="5">
        <v>46258</v>
      </c>
      <c r="F23" s="4" t="s">
        <v>25</v>
      </c>
      <c r="G23" s="5">
        <v>46262</v>
      </c>
    </row>
    <row r="24" spans="1:7" s="4" customFormat="1">
      <c r="A24" s="6"/>
      <c r="B24" s="6">
        <v>17</v>
      </c>
      <c r="C24" s="6" t="s">
        <v>45</v>
      </c>
      <c r="D24" s="6"/>
      <c r="E24" s="7"/>
      <c r="F24" s="12" t="s">
        <v>46</v>
      </c>
      <c r="G24" s="7"/>
    </row>
    <row r="25" spans="1:7" ht="28.8">
      <c r="B25" s="1">
        <v>18</v>
      </c>
      <c r="C25" s="1" t="s">
        <v>29</v>
      </c>
      <c r="D25" s="1" t="s">
        <v>30</v>
      </c>
      <c r="E25" s="3">
        <v>46258</v>
      </c>
      <c r="F25" s="10" t="s">
        <v>25</v>
      </c>
      <c r="G25" s="3">
        <v>46262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C61C-1A55-4D93-BE97-335A9CE60726}">
  <dimension ref="A1:L31"/>
  <sheetViews>
    <sheetView zoomScaleNormal="100" workbookViewId="0">
      <selection activeCell="E15" sqref="E15"/>
    </sheetView>
  </sheetViews>
  <sheetFormatPr defaultRowHeight="14.4"/>
  <cols>
    <col min="1" max="1" width="10.77734375" customWidth="1"/>
    <col min="2" max="2" width="10.77734375" style="14" customWidth="1"/>
    <col min="3" max="3" width="15.109375" customWidth="1"/>
    <col min="4" max="4" width="21.44140625" style="13" customWidth="1"/>
    <col min="5" max="5" width="33.33203125" style="13" customWidth="1"/>
    <col min="6" max="6" width="11.77734375" customWidth="1"/>
    <col min="7" max="8" width="11.44140625" customWidth="1"/>
    <col min="9" max="9" width="25.6640625" customWidth="1"/>
    <col min="10" max="10" width="12.21875" customWidth="1"/>
    <col min="12" max="12" width="22.77734375" customWidth="1"/>
  </cols>
  <sheetData>
    <row r="1" spans="1:12">
      <c r="A1" s="79" t="s">
        <v>69</v>
      </c>
      <c r="B1" s="79"/>
      <c r="C1" s="79"/>
      <c r="D1" s="79"/>
      <c r="E1" s="79"/>
      <c r="F1" s="79"/>
      <c r="G1" s="79"/>
      <c r="H1" s="79"/>
      <c r="I1" s="79"/>
      <c r="J1" s="79"/>
      <c r="K1" s="79"/>
      <c r="L1" s="79"/>
    </row>
    <row r="2" spans="1:12">
      <c r="A2" s="15" t="s">
        <v>79</v>
      </c>
      <c r="B2" s="16" t="s">
        <v>67</v>
      </c>
      <c r="C2" s="15" t="s">
        <v>78</v>
      </c>
      <c r="D2" s="17" t="s">
        <v>5</v>
      </c>
      <c r="E2" s="17" t="s">
        <v>47</v>
      </c>
      <c r="F2" s="15" t="s">
        <v>82</v>
      </c>
      <c r="G2" s="15" t="s">
        <v>83</v>
      </c>
      <c r="H2" s="15" t="s">
        <v>93</v>
      </c>
      <c r="I2" s="15" t="s">
        <v>68</v>
      </c>
      <c r="J2" s="15" t="s">
        <v>70</v>
      </c>
      <c r="K2" s="15" t="s">
        <v>86</v>
      </c>
      <c r="L2" s="15" t="s">
        <v>97</v>
      </c>
    </row>
    <row r="3" spans="1:12" ht="58.8" customHeight="1">
      <c r="A3" s="80">
        <v>1</v>
      </c>
      <c r="B3" s="80">
        <v>1</v>
      </c>
      <c r="C3">
        <v>1.1000000000000001</v>
      </c>
      <c r="D3" s="13" t="s">
        <v>48</v>
      </c>
      <c r="E3" s="13" t="s">
        <v>49</v>
      </c>
      <c r="F3" s="81">
        <v>46252</v>
      </c>
      <c r="G3" s="80" t="s">
        <v>94</v>
      </c>
      <c r="H3" s="81">
        <v>46259</v>
      </c>
      <c r="I3" s="80" t="s">
        <v>88</v>
      </c>
      <c r="J3" s="80" t="s">
        <v>99</v>
      </c>
    </row>
    <row r="4" spans="1:12" ht="54.6" customHeight="1">
      <c r="A4" s="80"/>
      <c r="B4" s="80"/>
      <c r="C4">
        <v>1.2</v>
      </c>
      <c r="D4" s="13" t="s">
        <v>48</v>
      </c>
      <c r="E4" s="13" t="s">
        <v>50</v>
      </c>
      <c r="F4" s="81"/>
      <c r="G4" s="80"/>
      <c r="H4" s="80"/>
      <c r="I4" s="80"/>
      <c r="J4" s="80"/>
    </row>
    <row r="5" spans="1:12" ht="33.6" customHeight="1">
      <c r="A5" s="80"/>
      <c r="B5" s="80"/>
      <c r="C5">
        <v>1.3</v>
      </c>
      <c r="D5" s="13" t="s">
        <v>48</v>
      </c>
      <c r="E5" s="13" t="s">
        <v>51</v>
      </c>
      <c r="F5" s="81"/>
      <c r="G5" s="80"/>
      <c r="H5" s="80"/>
      <c r="I5" s="80"/>
      <c r="J5" s="80"/>
    </row>
    <row r="6" spans="1:12" ht="26.4" customHeight="1">
      <c r="A6" s="80"/>
      <c r="B6" s="80"/>
      <c r="C6">
        <v>1.4</v>
      </c>
      <c r="D6" s="13" t="s">
        <v>48</v>
      </c>
      <c r="E6" s="13" t="s">
        <v>52</v>
      </c>
      <c r="F6" s="81"/>
      <c r="G6" s="80"/>
      <c r="H6" s="80"/>
      <c r="I6" s="80"/>
      <c r="J6" s="80"/>
    </row>
    <row r="7" spans="1:12" ht="72.599999999999994" customHeight="1">
      <c r="A7" s="80"/>
      <c r="B7" s="80"/>
      <c r="C7">
        <v>1.5</v>
      </c>
      <c r="D7" s="13" t="s">
        <v>48</v>
      </c>
      <c r="E7" s="13" t="s">
        <v>53</v>
      </c>
      <c r="F7" s="81"/>
      <c r="G7" s="80"/>
      <c r="H7" s="80"/>
      <c r="I7" s="80"/>
      <c r="J7" s="80"/>
    </row>
    <row r="8" spans="1:12" ht="28.8">
      <c r="A8" s="80"/>
      <c r="B8" s="80">
        <v>2</v>
      </c>
      <c r="C8">
        <v>2.1</v>
      </c>
      <c r="D8" s="13" t="s">
        <v>54</v>
      </c>
      <c r="E8" s="13" t="s">
        <v>55</v>
      </c>
      <c r="F8" s="81">
        <v>46252</v>
      </c>
      <c r="G8" s="80" t="s">
        <v>90</v>
      </c>
      <c r="H8" s="81">
        <v>46258</v>
      </c>
      <c r="I8" s="80" t="s">
        <v>89</v>
      </c>
      <c r="J8" s="80"/>
    </row>
    <row r="9" spans="1:12" ht="28.8">
      <c r="A9" s="80"/>
      <c r="B9" s="80"/>
      <c r="C9">
        <v>2.2000000000000002</v>
      </c>
      <c r="D9" s="13" t="s">
        <v>54</v>
      </c>
      <c r="E9" s="13" t="s">
        <v>85</v>
      </c>
      <c r="F9" s="81"/>
      <c r="G9" s="80"/>
      <c r="H9" s="81"/>
      <c r="I9" s="80"/>
      <c r="J9" s="80"/>
    </row>
    <row r="10" spans="1:12" ht="43.2">
      <c r="A10" s="80"/>
      <c r="B10" s="80"/>
      <c r="C10">
        <v>2.2999999999999998</v>
      </c>
      <c r="D10" s="13" t="s">
        <v>54</v>
      </c>
      <c r="E10" s="13" t="s">
        <v>87</v>
      </c>
      <c r="F10" s="81"/>
      <c r="G10" s="80"/>
      <c r="H10" s="81"/>
      <c r="I10" s="80"/>
      <c r="J10" s="80"/>
    </row>
    <row r="11" spans="1:12" ht="28.8">
      <c r="A11" s="80"/>
      <c r="B11" s="80">
        <v>3</v>
      </c>
      <c r="C11">
        <v>3.1</v>
      </c>
      <c r="D11" s="13" t="s">
        <v>56</v>
      </c>
      <c r="E11" s="13" t="s">
        <v>84</v>
      </c>
      <c r="F11" s="81"/>
      <c r="G11" s="80"/>
      <c r="H11" s="81"/>
      <c r="I11" s="80"/>
      <c r="J11" s="80"/>
    </row>
    <row r="12" spans="1:12" ht="28.8">
      <c r="A12" s="80"/>
      <c r="B12" s="80"/>
      <c r="C12">
        <v>3.2</v>
      </c>
      <c r="D12" s="13" t="s">
        <v>56</v>
      </c>
      <c r="E12" s="13" t="s">
        <v>57</v>
      </c>
      <c r="F12" s="22">
        <v>46255</v>
      </c>
      <c r="G12" s="14" t="s">
        <v>92</v>
      </c>
      <c r="H12" s="22">
        <v>46259</v>
      </c>
      <c r="I12" s="14" t="s">
        <v>91</v>
      </c>
      <c r="J12" s="80"/>
    </row>
    <row r="13" spans="1:12" ht="28.8">
      <c r="A13" s="80"/>
      <c r="B13" s="80">
        <v>4</v>
      </c>
      <c r="C13">
        <v>4.0999999999999996</v>
      </c>
      <c r="D13" s="13" t="s">
        <v>58</v>
      </c>
      <c r="E13" s="13" t="s">
        <v>84</v>
      </c>
      <c r="F13" s="22">
        <v>46252</v>
      </c>
      <c r="G13" s="14" t="s">
        <v>90</v>
      </c>
      <c r="H13" s="22">
        <v>46258</v>
      </c>
      <c r="I13" s="14" t="s">
        <v>89</v>
      </c>
      <c r="J13" s="80"/>
    </row>
    <row r="14" spans="1:12" ht="28.8">
      <c r="A14" s="80"/>
      <c r="B14" s="80"/>
      <c r="C14">
        <v>4.2</v>
      </c>
      <c r="D14" s="13" t="s">
        <v>58</v>
      </c>
      <c r="E14" s="13" t="s">
        <v>57</v>
      </c>
      <c r="F14" s="22">
        <v>46255</v>
      </c>
      <c r="G14" s="14" t="s">
        <v>92</v>
      </c>
      <c r="H14" s="22">
        <v>46259</v>
      </c>
      <c r="I14" s="14" t="s">
        <v>91</v>
      </c>
      <c r="J14" s="80"/>
    </row>
    <row r="15" spans="1:12" ht="28.8">
      <c r="A15" s="80"/>
      <c r="B15" s="14">
        <v>9</v>
      </c>
      <c r="C15">
        <v>9.4</v>
      </c>
      <c r="D15" s="13" t="s">
        <v>29</v>
      </c>
      <c r="E15" s="13" t="s">
        <v>77</v>
      </c>
      <c r="F15" s="81" t="s">
        <v>96</v>
      </c>
      <c r="G15" s="81"/>
      <c r="H15" s="81"/>
      <c r="I15" s="14" t="s">
        <v>1</v>
      </c>
      <c r="J15" s="80"/>
      <c r="L15" t="s">
        <v>98</v>
      </c>
    </row>
    <row r="16" spans="1:12">
      <c r="A16" s="23"/>
      <c r="B16" s="24"/>
      <c r="C16" s="25"/>
      <c r="D16" s="78" t="s">
        <v>95</v>
      </c>
      <c r="E16" s="78"/>
      <c r="F16" s="26">
        <v>46198</v>
      </c>
      <c r="G16" s="27">
        <v>0.625</v>
      </c>
      <c r="H16" s="26"/>
      <c r="I16" s="24"/>
    </row>
    <row r="17" spans="1:9" ht="86.4">
      <c r="A17" s="80">
        <v>2</v>
      </c>
      <c r="B17" s="80">
        <v>5</v>
      </c>
      <c r="C17">
        <v>5.0999999999999996</v>
      </c>
      <c r="D17" s="13" t="s">
        <v>59</v>
      </c>
      <c r="E17" s="13" t="s">
        <v>60</v>
      </c>
      <c r="F17" s="21">
        <v>46260</v>
      </c>
      <c r="G17" s="83" t="s">
        <v>100</v>
      </c>
      <c r="H17" s="82">
        <v>46262</v>
      </c>
      <c r="I17" s="83" t="s">
        <v>89</v>
      </c>
    </row>
    <row r="18" spans="1:9" ht="28.8">
      <c r="A18" s="80"/>
      <c r="B18" s="80"/>
      <c r="C18">
        <v>5.2</v>
      </c>
      <c r="D18" s="13" t="s">
        <v>59</v>
      </c>
      <c r="E18" s="13" t="s">
        <v>61</v>
      </c>
      <c r="G18" s="83"/>
      <c r="H18" s="83"/>
      <c r="I18" s="83"/>
    </row>
    <row r="19" spans="1:9" ht="86.4">
      <c r="A19" s="80"/>
      <c r="B19" s="80">
        <v>6</v>
      </c>
      <c r="C19">
        <v>6.1</v>
      </c>
      <c r="D19" s="13" t="s">
        <v>37</v>
      </c>
      <c r="E19" s="13" t="s">
        <v>103</v>
      </c>
      <c r="F19" s="82">
        <v>46260</v>
      </c>
      <c r="G19" s="83" t="s">
        <v>94</v>
      </c>
      <c r="H19" s="82">
        <v>46267</v>
      </c>
      <c r="I19" s="83" t="s">
        <v>101</v>
      </c>
    </row>
    <row r="20" spans="1:9" ht="28.8">
      <c r="A20" s="80"/>
      <c r="B20" s="80"/>
      <c r="C20">
        <v>6.2</v>
      </c>
      <c r="D20" s="13" t="s">
        <v>37</v>
      </c>
      <c r="E20" s="13" t="s">
        <v>62</v>
      </c>
      <c r="F20" s="83"/>
      <c r="G20" s="83"/>
      <c r="H20" s="83"/>
      <c r="I20" s="83"/>
    </row>
    <row r="21" spans="1:9" ht="43.8" customHeight="1">
      <c r="A21" s="80"/>
      <c r="B21" s="80"/>
      <c r="C21" s="18">
        <v>6.3</v>
      </c>
      <c r="D21" s="19" t="s">
        <v>80</v>
      </c>
      <c r="E21" s="20" t="s">
        <v>81</v>
      </c>
      <c r="F21" s="83"/>
      <c r="G21" s="83"/>
      <c r="H21" s="83"/>
      <c r="I21" s="83"/>
    </row>
    <row r="22" spans="1:9" ht="28.8">
      <c r="A22" s="80"/>
      <c r="B22" s="80"/>
      <c r="C22">
        <v>6.4</v>
      </c>
      <c r="D22" s="13" t="s">
        <v>37</v>
      </c>
      <c r="E22" s="13" t="s">
        <v>63</v>
      </c>
      <c r="F22" s="83"/>
      <c r="G22" s="83"/>
      <c r="H22" s="83"/>
      <c r="I22" s="83"/>
    </row>
    <row r="23" spans="1:9" ht="28.8">
      <c r="A23" s="80"/>
      <c r="B23" s="80">
        <v>7</v>
      </c>
      <c r="C23">
        <v>7.1</v>
      </c>
      <c r="D23" s="13" t="s">
        <v>64</v>
      </c>
      <c r="E23" s="13" t="s">
        <v>65</v>
      </c>
      <c r="F23" s="82">
        <v>46260</v>
      </c>
      <c r="G23" s="83" t="s">
        <v>94</v>
      </c>
      <c r="H23" s="82">
        <v>46267</v>
      </c>
      <c r="I23" s="83" t="s">
        <v>91</v>
      </c>
    </row>
    <row r="24" spans="1:9">
      <c r="A24" s="80"/>
      <c r="B24" s="80"/>
      <c r="C24">
        <v>7.2</v>
      </c>
      <c r="D24" s="13" t="s">
        <v>64</v>
      </c>
      <c r="E24" s="13" t="s">
        <v>66</v>
      </c>
      <c r="F24" s="83"/>
      <c r="G24" s="83"/>
      <c r="H24" s="83"/>
      <c r="I24" s="83"/>
    </row>
    <row r="25" spans="1:9" ht="43.2">
      <c r="A25" s="80"/>
      <c r="B25" s="80">
        <v>8</v>
      </c>
      <c r="C25">
        <v>8.1</v>
      </c>
      <c r="D25" s="13" t="s">
        <v>71</v>
      </c>
      <c r="E25" s="13" t="s">
        <v>72</v>
      </c>
      <c r="F25" s="84">
        <v>46260</v>
      </c>
      <c r="G25" s="83" t="s">
        <v>94</v>
      </c>
      <c r="H25" s="82">
        <v>46267</v>
      </c>
      <c r="I25" s="83" t="s">
        <v>102</v>
      </c>
    </row>
    <row r="26" spans="1:9" ht="28.8">
      <c r="A26" s="80"/>
      <c r="B26" s="80"/>
      <c r="C26">
        <v>8.1999999999999993</v>
      </c>
      <c r="D26" s="13" t="s">
        <v>71</v>
      </c>
      <c r="E26" s="13" t="s">
        <v>73</v>
      </c>
      <c r="F26" s="84"/>
      <c r="G26" s="83"/>
      <c r="H26" s="83"/>
      <c r="I26" s="83"/>
    </row>
    <row r="27" spans="1:9">
      <c r="A27" s="24"/>
      <c r="B27" s="24"/>
      <c r="C27" s="25"/>
      <c r="D27" s="28"/>
      <c r="E27" s="28" t="s">
        <v>95</v>
      </c>
      <c r="F27" s="29">
        <v>46266</v>
      </c>
      <c r="G27" s="30">
        <v>0.625</v>
      </c>
      <c r="H27" s="23"/>
      <c r="I27" s="23"/>
    </row>
    <row r="28" spans="1:9" ht="43.2">
      <c r="A28" s="80">
        <v>3</v>
      </c>
      <c r="B28" s="80">
        <v>9</v>
      </c>
      <c r="C28">
        <v>9.1</v>
      </c>
      <c r="D28" s="13" t="s">
        <v>29</v>
      </c>
      <c r="E28" s="13" t="s">
        <v>74</v>
      </c>
      <c r="F28" s="82">
        <v>46268</v>
      </c>
      <c r="G28" s="83" t="s">
        <v>94</v>
      </c>
      <c r="H28" s="82">
        <v>46275</v>
      </c>
      <c r="I28" s="83" t="s">
        <v>96</v>
      </c>
    </row>
    <row r="29" spans="1:9" ht="28.8">
      <c r="A29" s="80"/>
      <c r="B29" s="80"/>
      <c r="C29">
        <v>9.1999999999999993</v>
      </c>
      <c r="D29" s="13" t="s">
        <v>29</v>
      </c>
      <c r="E29" s="13" t="s">
        <v>75</v>
      </c>
      <c r="F29" s="82"/>
      <c r="G29" s="83"/>
      <c r="H29" s="82"/>
      <c r="I29" s="83"/>
    </row>
    <row r="30" spans="1:9" ht="28.8">
      <c r="A30" s="80"/>
      <c r="B30" s="80"/>
      <c r="C30">
        <v>9.3000000000000007</v>
      </c>
      <c r="D30" s="13" t="s">
        <v>29</v>
      </c>
      <c r="E30" s="13" t="s">
        <v>76</v>
      </c>
      <c r="F30" s="82"/>
      <c r="G30" s="83"/>
      <c r="H30" s="82"/>
      <c r="I30" s="83"/>
    </row>
    <row r="31" spans="1:9">
      <c r="A31" s="80"/>
      <c r="B31" s="80"/>
    </row>
  </sheetData>
  <mergeCells count="43">
    <mergeCell ref="I25:I26"/>
    <mergeCell ref="I17:I18"/>
    <mergeCell ref="G19:G22"/>
    <mergeCell ref="H19:H22"/>
    <mergeCell ref="I28:I30"/>
    <mergeCell ref="I23:I24"/>
    <mergeCell ref="I19:I22"/>
    <mergeCell ref="H17:H18"/>
    <mergeCell ref="G17:G18"/>
    <mergeCell ref="H28:H30"/>
    <mergeCell ref="G28:G30"/>
    <mergeCell ref="G23:G24"/>
    <mergeCell ref="H23:H24"/>
    <mergeCell ref="G25:G26"/>
    <mergeCell ref="H25:H26"/>
    <mergeCell ref="F19:F22"/>
    <mergeCell ref="B23:B24"/>
    <mergeCell ref="B25:B26"/>
    <mergeCell ref="B28:B31"/>
    <mergeCell ref="F28:F30"/>
    <mergeCell ref="F23:F24"/>
    <mergeCell ref="F25:F26"/>
    <mergeCell ref="B13:B14"/>
    <mergeCell ref="A17:A26"/>
    <mergeCell ref="A28:A31"/>
    <mergeCell ref="B17:B18"/>
    <mergeCell ref="B19:B22"/>
    <mergeCell ref="D16:E16"/>
    <mergeCell ref="A1:L1"/>
    <mergeCell ref="J3:J15"/>
    <mergeCell ref="H3:H7"/>
    <mergeCell ref="F8:F11"/>
    <mergeCell ref="G8:G11"/>
    <mergeCell ref="H8:H11"/>
    <mergeCell ref="I8:I11"/>
    <mergeCell ref="I3:I7"/>
    <mergeCell ref="G3:G7"/>
    <mergeCell ref="A3:A15"/>
    <mergeCell ref="F3:F7"/>
    <mergeCell ref="F15:H15"/>
    <mergeCell ref="B3:B7"/>
    <mergeCell ref="B8:B10"/>
    <mergeCell ref="B11:B12"/>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7794A-BDEC-4305-8F7F-332456871660}">
  <dimension ref="A1:V42"/>
  <sheetViews>
    <sheetView zoomScale="93" workbookViewId="0">
      <selection activeCell="C3" sqref="C3"/>
    </sheetView>
  </sheetViews>
  <sheetFormatPr defaultRowHeight="14.4"/>
  <cols>
    <col min="1" max="1" width="12.44140625" customWidth="1"/>
    <col min="2" max="2" width="17.6640625" bestFit="1" customWidth="1"/>
    <col min="3" max="3" width="24" bestFit="1" customWidth="1"/>
    <col min="4" max="4" width="63.77734375" customWidth="1"/>
    <col min="5" max="5" width="65.5546875" bestFit="1" customWidth="1"/>
    <col min="6" max="7" width="10.88671875" customWidth="1"/>
    <col min="8" max="8" width="38" style="33" bestFit="1" customWidth="1"/>
    <col min="9" max="9" width="27.109375" style="32" customWidth="1"/>
    <col min="10" max="10" width="15.88671875" bestFit="1" customWidth="1"/>
    <col min="11" max="11" width="7.44140625" customWidth="1"/>
    <col min="13" max="13" width="32.77734375" bestFit="1" customWidth="1"/>
    <col min="14" max="14" width="21" bestFit="1" customWidth="1"/>
    <col min="17" max="17" width="12.109375" bestFit="1" customWidth="1"/>
    <col min="19" max="19" width="10.33203125" customWidth="1"/>
  </cols>
  <sheetData>
    <row r="1" spans="1:22">
      <c r="A1" s="59" t="s">
        <v>139</v>
      </c>
      <c r="B1" s="59"/>
      <c r="C1" s="59"/>
      <c r="D1" s="60"/>
      <c r="E1" s="60"/>
      <c r="F1" s="60"/>
      <c r="G1" s="60"/>
      <c r="H1" s="60"/>
      <c r="I1" s="60"/>
      <c r="J1" s="60"/>
      <c r="K1" s="60"/>
      <c r="L1" s="60"/>
      <c r="M1" s="60"/>
    </row>
    <row r="2" spans="1:22">
      <c r="A2" s="59"/>
      <c r="B2" s="85" t="s">
        <v>105</v>
      </c>
      <c r="C2" s="85"/>
      <c r="D2" s="85"/>
      <c r="E2" s="60"/>
      <c r="F2" s="60"/>
      <c r="G2" s="60"/>
      <c r="H2" s="60"/>
      <c r="I2" s="60"/>
      <c r="J2" s="60"/>
      <c r="K2" s="60"/>
      <c r="L2" s="60"/>
      <c r="M2" s="60"/>
    </row>
    <row r="3" spans="1:22" s="15" customFormat="1" ht="16.2" customHeight="1">
      <c r="A3" s="53" t="s">
        <v>104</v>
      </c>
      <c r="B3" s="53" t="s">
        <v>159</v>
      </c>
      <c r="C3" s="53" t="s">
        <v>130</v>
      </c>
      <c r="D3" s="53" t="s">
        <v>131</v>
      </c>
      <c r="E3" s="53" t="s">
        <v>136</v>
      </c>
      <c r="F3" s="53" t="s">
        <v>106</v>
      </c>
      <c r="G3" s="53" t="s">
        <v>2</v>
      </c>
      <c r="H3" s="54" t="s">
        <v>5</v>
      </c>
      <c r="I3" s="55" t="s">
        <v>47</v>
      </c>
      <c r="J3" s="53" t="s">
        <v>107</v>
      </c>
      <c r="K3" s="53" t="s">
        <v>70</v>
      </c>
      <c r="L3" s="53" t="s">
        <v>86</v>
      </c>
      <c r="M3" s="53" t="s">
        <v>97</v>
      </c>
      <c r="N3" s="15" t="s">
        <v>153</v>
      </c>
      <c r="P3" s="15" t="s">
        <v>104</v>
      </c>
      <c r="Q3" s="15" t="s">
        <v>158</v>
      </c>
      <c r="R3" s="15" t="s">
        <v>136</v>
      </c>
      <c r="S3" s="15" t="s">
        <v>157</v>
      </c>
      <c r="T3" s="15" t="s">
        <v>101</v>
      </c>
      <c r="U3" s="15" t="s">
        <v>70</v>
      </c>
      <c r="V3" s="15" t="s">
        <v>97</v>
      </c>
    </row>
    <row r="4" spans="1:22" ht="43.2">
      <c r="A4" s="33"/>
      <c r="B4" s="14" t="s">
        <v>132</v>
      </c>
      <c r="C4" s="57" t="s">
        <v>134</v>
      </c>
      <c r="D4" s="57" t="s">
        <v>135</v>
      </c>
      <c r="E4" s="39" t="s">
        <v>55</v>
      </c>
      <c r="F4" s="33"/>
      <c r="G4" s="61"/>
      <c r="I4" s="39"/>
      <c r="Q4">
        <v>1</v>
      </c>
    </row>
    <row r="5" spans="1:22">
      <c r="A5" s="33"/>
      <c r="B5" s="14"/>
      <c r="C5" s="57"/>
      <c r="D5" s="57"/>
      <c r="E5" s="39" t="s">
        <v>85</v>
      </c>
      <c r="F5" s="33"/>
      <c r="G5" s="61"/>
      <c r="I5" s="39"/>
    </row>
    <row r="6" spans="1:22" ht="42" customHeight="1">
      <c r="A6" s="33"/>
      <c r="B6" s="14"/>
      <c r="C6" s="57"/>
      <c r="D6" s="57"/>
      <c r="E6" s="39" t="s">
        <v>87</v>
      </c>
      <c r="F6" s="33"/>
      <c r="G6" s="61"/>
      <c r="I6" s="39"/>
    </row>
    <row r="7" spans="1:22" ht="115.2">
      <c r="A7" s="33">
        <v>1</v>
      </c>
      <c r="B7" s="14" t="s">
        <v>132</v>
      </c>
      <c r="C7" s="57" t="s">
        <v>137</v>
      </c>
      <c r="D7" s="1" t="s">
        <v>133</v>
      </c>
      <c r="E7" s="39" t="s">
        <v>55</v>
      </c>
      <c r="F7" s="33">
        <v>8</v>
      </c>
      <c r="G7" s="61">
        <v>46254</v>
      </c>
      <c r="H7" s="33" t="s">
        <v>108</v>
      </c>
      <c r="I7" s="39"/>
    </row>
    <row r="8" spans="1:22">
      <c r="A8" s="33"/>
      <c r="B8" s="14"/>
      <c r="C8" s="14"/>
      <c r="D8" s="1"/>
      <c r="E8" s="39" t="s">
        <v>85</v>
      </c>
      <c r="F8" s="33"/>
      <c r="G8" s="61"/>
      <c r="I8" s="39"/>
    </row>
    <row r="9" spans="1:22" ht="28.8">
      <c r="A9" s="33"/>
      <c r="B9" s="14"/>
      <c r="C9" s="14"/>
      <c r="D9" s="1"/>
      <c r="E9" s="39" t="s">
        <v>87</v>
      </c>
      <c r="F9" s="33"/>
      <c r="G9" s="61"/>
      <c r="I9" s="39"/>
    </row>
    <row r="10" spans="1:22">
      <c r="A10" s="33"/>
      <c r="B10" s="14"/>
      <c r="C10" s="14"/>
      <c r="D10" s="1"/>
      <c r="E10" s="31" t="s">
        <v>138</v>
      </c>
      <c r="F10" s="33"/>
      <c r="G10" s="61"/>
      <c r="H10" s="33" t="s">
        <v>56</v>
      </c>
      <c r="I10" s="39" t="s">
        <v>84</v>
      </c>
    </row>
    <row r="11" spans="1:22">
      <c r="A11" s="33"/>
      <c r="B11" s="14"/>
      <c r="C11" s="14"/>
      <c r="D11" s="1"/>
      <c r="E11" s="1"/>
      <c r="F11" s="33"/>
      <c r="G11" s="61"/>
      <c r="I11" s="39" t="s">
        <v>57</v>
      </c>
    </row>
    <row r="12" spans="1:22" ht="28.8">
      <c r="A12" s="33"/>
      <c r="B12" s="14"/>
      <c r="C12" s="14"/>
      <c r="D12" s="1"/>
      <c r="E12" s="1"/>
      <c r="F12" s="33"/>
      <c r="G12" s="61"/>
      <c r="H12" s="14" t="s">
        <v>117</v>
      </c>
      <c r="I12" s="43" t="s">
        <v>118</v>
      </c>
      <c r="M12" t="s">
        <v>119</v>
      </c>
    </row>
    <row r="13" spans="1:22">
      <c r="A13" s="14"/>
      <c r="B13" s="14"/>
      <c r="C13" s="14"/>
      <c r="D13" s="31"/>
      <c r="F13" s="14"/>
      <c r="G13" s="22"/>
      <c r="H13" s="14" t="s">
        <v>128</v>
      </c>
      <c r="I13" s="56" t="s">
        <v>129</v>
      </c>
    </row>
    <row r="14" spans="1:22">
      <c r="A14" s="14"/>
      <c r="B14" s="14"/>
      <c r="C14" s="14"/>
      <c r="D14" s="31"/>
      <c r="E14" s="31"/>
      <c r="F14" s="14"/>
      <c r="G14" s="22"/>
      <c r="H14" s="14"/>
      <c r="I14" s="56"/>
    </row>
    <row r="15" spans="1:22">
      <c r="A15" s="34"/>
      <c r="B15" s="34"/>
      <c r="C15" s="34"/>
      <c r="D15" s="35" t="s">
        <v>115</v>
      </c>
      <c r="E15" s="35"/>
      <c r="F15" s="36"/>
      <c r="G15" s="38">
        <v>46261</v>
      </c>
      <c r="H15" s="36"/>
      <c r="I15" s="46"/>
      <c r="J15" s="37"/>
      <c r="K15" s="37"/>
      <c r="L15" s="37"/>
      <c r="M15" s="37"/>
    </row>
    <row r="16" spans="1:22" ht="57.6" customHeight="1">
      <c r="A16" s="33">
        <v>2</v>
      </c>
      <c r="B16" s="14"/>
      <c r="C16" s="14"/>
      <c r="D16" s="58" t="s">
        <v>123</v>
      </c>
      <c r="E16" s="58"/>
      <c r="F16" s="33">
        <v>8</v>
      </c>
      <c r="G16" s="61">
        <v>46261</v>
      </c>
      <c r="H16" s="33" t="s">
        <v>48</v>
      </c>
      <c r="I16" s="45" t="s">
        <v>49</v>
      </c>
    </row>
    <row r="17" spans="1:13" ht="43.2">
      <c r="A17" s="33"/>
      <c r="B17" s="14"/>
      <c r="C17" s="14"/>
      <c r="D17" s="58"/>
      <c r="E17" s="58"/>
      <c r="F17" s="33"/>
      <c r="G17" s="61"/>
      <c r="I17" s="39" t="s">
        <v>50</v>
      </c>
    </row>
    <row r="18" spans="1:13">
      <c r="A18" s="33"/>
      <c r="B18" s="14"/>
      <c r="C18" s="14"/>
      <c r="D18" s="58"/>
      <c r="E18" s="58"/>
      <c r="F18" s="33"/>
      <c r="G18" s="61"/>
      <c r="I18" s="39" t="s">
        <v>51</v>
      </c>
    </row>
    <row r="19" spans="1:13" ht="28.8">
      <c r="A19" s="33"/>
      <c r="B19" s="14"/>
      <c r="C19" s="14"/>
      <c r="D19" s="58"/>
      <c r="E19" s="58"/>
      <c r="F19" s="33"/>
      <c r="G19" s="61"/>
      <c r="I19" s="39" t="s">
        <v>52</v>
      </c>
    </row>
    <row r="20" spans="1:13" ht="57.6">
      <c r="A20" s="33"/>
      <c r="B20" s="14"/>
      <c r="C20" s="14"/>
      <c r="D20" s="58"/>
      <c r="E20" s="58"/>
      <c r="F20" s="33"/>
      <c r="G20" s="61"/>
      <c r="I20" s="39" t="s">
        <v>53</v>
      </c>
    </row>
    <row r="21" spans="1:13">
      <c r="A21" s="33"/>
      <c r="B21" s="14"/>
      <c r="C21" s="14"/>
      <c r="D21" s="58"/>
      <c r="E21" s="58"/>
      <c r="F21" s="33"/>
      <c r="G21" s="61"/>
      <c r="H21" s="33" t="s">
        <v>109</v>
      </c>
      <c r="I21" s="39" t="s">
        <v>84</v>
      </c>
    </row>
    <row r="22" spans="1:13">
      <c r="A22" s="33"/>
      <c r="B22" s="14"/>
      <c r="C22" s="14"/>
      <c r="D22" s="58"/>
      <c r="E22" s="58"/>
      <c r="F22" s="33"/>
      <c r="G22" s="61"/>
      <c r="I22" s="43" t="s">
        <v>57</v>
      </c>
    </row>
    <row r="23" spans="1:13" ht="57.6">
      <c r="A23" s="33"/>
      <c r="B23" s="14"/>
      <c r="C23" s="14"/>
      <c r="D23" s="58"/>
      <c r="E23" s="58"/>
      <c r="F23" s="33"/>
      <c r="G23" s="61"/>
      <c r="H23" s="14" t="s">
        <v>124</v>
      </c>
      <c r="I23" s="39" t="s">
        <v>125</v>
      </c>
    </row>
    <row r="24" spans="1:13" s="15" customFormat="1">
      <c r="A24" s="47"/>
      <c r="B24" s="47"/>
      <c r="C24" s="47"/>
      <c r="D24" s="48" t="s">
        <v>116</v>
      </c>
      <c r="E24" s="48"/>
      <c r="F24" s="47"/>
      <c r="G24" s="49">
        <v>46268</v>
      </c>
      <c r="H24" s="47" t="s">
        <v>127</v>
      </c>
      <c r="I24" s="50"/>
      <c r="J24" s="51"/>
      <c r="K24" s="51"/>
      <c r="L24" s="51"/>
      <c r="M24" s="51"/>
    </row>
    <row r="25" spans="1:13" ht="86.4">
      <c r="A25" s="33">
        <v>3</v>
      </c>
      <c r="B25" s="14"/>
      <c r="C25" s="14"/>
      <c r="D25" s="58" t="s">
        <v>111</v>
      </c>
      <c r="E25" s="58"/>
      <c r="F25" s="33">
        <v>5</v>
      </c>
      <c r="G25" s="61">
        <v>46268</v>
      </c>
      <c r="H25" s="33" t="s">
        <v>110</v>
      </c>
      <c r="I25" s="45" t="s">
        <v>60</v>
      </c>
    </row>
    <row r="26" spans="1:13" ht="43.2">
      <c r="A26" s="33"/>
      <c r="B26" s="14"/>
      <c r="C26" s="14"/>
      <c r="D26" s="58"/>
      <c r="E26" s="58"/>
      <c r="F26" s="33"/>
      <c r="G26" s="61"/>
      <c r="I26" s="39" t="s">
        <v>61</v>
      </c>
    </row>
    <row r="27" spans="1:13" ht="129.6">
      <c r="A27" s="33"/>
      <c r="B27" s="14"/>
      <c r="C27" s="14"/>
      <c r="D27" s="58"/>
      <c r="E27" s="58"/>
      <c r="F27" s="33"/>
      <c r="G27" s="61"/>
      <c r="H27" s="33" t="s">
        <v>37</v>
      </c>
      <c r="I27" s="39" t="s">
        <v>103</v>
      </c>
    </row>
    <row r="28" spans="1:13">
      <c r="A28" s="33"/>
      <c r="B28" s="14"/>
      <c r="C28" s="14"/>
      <c r="D28" s="58"/>
      <c r="E28" s="58"/>
      <c r="F28" s="33"/>
      <c r="G28" s="61"/>
      <c r="I28" s="39" t="s">
        <v>62</v>
      </c>
    </row>
    <row r="29" spans="1:13">
      <c r="A29" s="33"/>
      <c r="B29" s="14"/>
      <c r="C29" s="14"/>
      <c r="D29" s="58"/>
      <c r="E29" s="58"/>
      <c r="F29" s="33"/>
      <c r="G29" s="61"/>
      <c r="I29" s="40" t="s">
        <v>81</v>
      </c>
    </row>
    <row r="30" spans="1:13" ht="28.8">
      <c r="A30" s="33"/>
      <c r="B30" s="14"/>
      <c r="C30" s="14"/>
      <c r="D30" s="58"/>
      <c r="E30" s="58"/>
      <c r="F30" s="33"/>
      <c r="G30" s="61"/>
      <c r="I30" s="43" t="s">
        <v>63</v>
      </c>
    </row>
    <row r="31" spans="1:13">
      <c r="A31" s="34"/>
      <c r="B31" s="34"/>
      <c r="C31" s="34"/>
      <c r="D31" s="35" t="s">
        <v>115</v>
      </c>
      <c r="E31" s="35"/>
      <c r="F31" s="36"/>
      <c r="G31" s="38">
        <v>46275</v>
      </c>
      <c r="H31" s="36"/>
      <c r="I31" s="46"/>
      <c r="J31" s="37"/>
      <c r="K31" s="37"/>
      <c r="L31" s="37"/>
      <c r="M31" s="37"/>
    </row>
    <row r="32" spans="1:13" ht="43.2" customHeight="1">
      <c r="A32" s="33">
        <v>4</v>
      </c>
      <c r="B32" s="14"/>
      <c r="C32" s="14"/>
      <c r="D32" s="58" t="s">
        <v>112</v>
      </c>
      <c r="E32" s="58"/>
      <c r="F32" s="33">
        <v>8</v>
      </c>
      <c r="G32" s="61">
        <v>46275</v>
      </c>
      <c r="H32" s="33" t="s">
        <v>113</v>
      </c>
      <c r="I32" s="44" t="s">
        <v>65</v>
      </c>
    </row>
    <row r="33" spans="1:13">
      <c r="A33" s="33"/>
      <c r="B33" s="14"/>
      <c r="C33" s="14"/>
      <c r="D33" s="58"/>
      <c r="E33" s="58"/>
      <c r="F33" s="33"/>
      <c r="G33" s="61"/>
      <c r="I33" s="41" t="s">
        <v>66</v>
      </c>
    </row>
    <row r="34" spans="1:13" ht="43.2">
      <c r="A34" s="33"/>
      <c r="B34" s="14"/>
      <c r="C34" s="14"/>
      <c r="D34" s="58"/>
      <c r="E34" s="58"/>
      <c r="F34" s="33"/>
      <c r="G34" s="61"/>
      <c r="H34" s="33" t="s">
        <v>114</v>
      </c>
      <c r="I34" s="41" t="s">
        <v>72</v>
      </c>
    </row>
    <row r="35" spans="1:13" ht="28.8">
      <c r="A35" s="33"/>
      <c r="B35" s="14"/>
      <c r="C35" s="14"/>
      <c r="D35" s="58"/>
      <c r="E35" s="58"/>
      <c r="F35" s="33"/>
      <c r="G35" s="61"/>
      <c r="I35" s="41" t="s">
        <v>73</v>
      </c>
    </row>
    <row r="36" spans="1:13" ht="43.2">
      <c r="A36" s="33"/>
      <c r="B36" s="14"/>
      <c r="C36" s="14"/>
      <c r="D36" s="58"/>
      <c r="E36" s="58"/>
      <c r="F36" s="33"/>
      <c r="G36" s="61"/>
      <c r="H36" s="33" t="s">
        <v>29</v>
      </c>
      <c r="I36" s="41" t="s">
        <v>74</v>
      </c>
    </row>
    <row r="37" spans="1:13" ht="28.8">
      <c r="A37" s="33"/>
      <c r="B37" s="14"/>
      <c r="C37" s="14"/>
      <c r="D37" s="58"/>
      <c r="E37" s="58"/>
      <c r="F37" s="33"/>
      <c r="G37" s="61"/>
      <c r="I37" s="41" t="s">
        <v>75</v>
      </c>
    </row>
    <row r="38" spans="1:13">
      <c r="A38" s="33"/>
      <c r="B38" s="14"/>
      <c r="C38" s="14"/>
      <c r="D38" s="58"/>
      <c r="E38" s="58"/>
      <c r="F38" s="33"/>
      <c r="G38" s="61"/>
      <c r="I38" s="41" t="s">
        <v>76</v>
      </c>
    </row>
    <row r="39" spans="1:13">
      <c r="A39" s="33"/>
      <c r="B39" s="14"/>
      <c r="C39" s="14"/>
      <c r="D39" s="58"/>
      <c r="E39" s="58"/>
      <c r="F39" s="33"/>
      <c r="G39" s="61"/>
      <c r="I39" s="41" t="s">
        <v>77</v>
      </c>
    </row>
    <row r="40" spans="1:13">
      <c r="A40" s="33"/>
      <c r="B40" s="14"/>
      <c r="C40" s="14"/>
      <c r="D40" s="58"/>
      <c r="E40" s="58"/>
      <c r="F40" s="33"/>
      <c r="G40" s="61"/>
      <c r="H40" s="33" t="s">
        <v>120</v>
      </c>
      <c r="I40" s="41" t="s">
        <v>121</v>
      </c>
    </row>
    <row r="41" spans="1:13" ht="28.8">
      <c r="A41" s="33"/>
      <c r="B41" s="14"/>
      <c r="C41" s="14"/>
      <c r="D41" s="58"/>
      <c r="E41" s="58"/>
      <c r="F41" s="33"/>
      <c r="G41" s="61"/>
      <c r="I41" s="42" t="s">
        <v>122</v>
      </c>
    </row>
    <row r="42" spans="1:13" s="15" customFormat="1">
      <c r="A42" s="47"/>
      <c r="B42" s="47"/>
      <c r="C42" s="47"/>
      <c r="D42" s="48" t="s">
        <v>116</v>
      </c>
      <c r="E42" s="48"/>
      <c r="F42" s="47"/>
      <c r="G42" s="49">
        <v>46282</v>
      </c>
      <c r="H42" s="47" t="s">
        <v>126</v>
      </c>
      <c r="I42" s="52"/>
      <c r="J42" s="51"/>
      <c r="K42" s="51"/>
      <c r="L42" s="51"/>
      <c r="M42" s="51"/>
    </row>
  </sheetData>
  <mergeCells count="1">
    <mergeCell ref="B2:D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2D4C0-1656-4F6E-9BC2-A7E4DB44885F}">
  <dimension ref="A1:J253"/>
  <sheetViews>
    <sheetView tabSelected="1" topLeftCell="A88" zoomScaleNormal="100" workbookViewId="0">
      <selection activeCell="D95" sqref="D95:D111"/>
    </sheetView>
  </sheetViews>
  <sheetFormatPr defaultRowHeight="14.4"/>
  <cols>
    <col min="1" max="1" width="12.44140625" customWidth="1"/>
    <col min="2" max="2" width="14.77734375" customWidth="1"/>
    <col min="3" max="3" width="13" customWidth="1"/>
    <col min="4" max="4" width="61.88671875" style="13" bestFit="1" customWidth="1"/>
    <col min="5" max="5" width="11.5546875" bestFit="1" customWidth="1"/>
    <col min="6" max="6" width="11.5546875" customWidth="1"/>
  </cols>
  <sheetData>
    <row r="1" spans="1:10">
      <c r="A1" s="72" t="s">
        <v>411</v>
      </c>
      <c r="B1" s="73"/>
      <c r="C1" s="73"/>
      <c r="D1" s="73"/>
      <c r="E1" s="73"/>
      <c r="F1" s="73"/>
      <c r="G1" s="73"/>
      <c r="H1" s="73"/>
      <c r="I1" s="73"/>
      <c r="J1" s="73"/>
    </row>
    <row r="2" spans="1:10" s="15" customFormat="1">
      <c r="A2" s="59" t="s">
        <v>104</v>
      </c>
      <c r="B2" s="59" t="s">
        <v>160</v>
      </c>
      <c r="C2" s="59" t="s">
        <v>5</v>
      </c>
      <c r="D2" s="70" t="s">
        <v>136</v>
      </c>
      <c r="E2" s="59" t="s">
        <v>416</v>
      </c>
      <c r="F2" s="59" t="s">
        <v>106</v>
      </c>
      <c r="G2" s="59" t="s">
        <v>101</v>
      </c>
      <c r="H2" s="59" t="s">
        <v>161</v>
      </c>
      <c r="I2" s="59" t="s">
        <v>97</v>
      </c>
      <c r="J2" s="59" t="s">
        <v>86</v>
      </c>
    </row>
    <row r="3" spans="1:10">
      <c r="B3" s="71">
        <v>1</v>
      </c>
      <c r="C3" s="76">
        <v>1.1000000000000001</v>
      </c>
      <c r="D3" s="13" t="s">
        <v>162</v>
      </c>
      <c r="E3" s="90" t="s">
        <v>147</v>
      </c>
      <c r="F3" s="90" cm="1">
        <f t="array" ref="F3">_xlfn.SWITCH(E3,"XS",1,"S",2,"M",3,"L",5,"XL",8,"XXL",13,"XXXL",21,"")</f>
        <v>5</v>
      </c>
    </row>
    <row r="4" spans="1:10">
      <c r="B4" s="71"/>
      <c r="C4" s="76"/>
      <c r="D4" s="13" t="s">
        <v>163</v>
      </c>
      <c r="E4" s="90"/>
      <c r="F4" s="90"/>
    </row>
    <row r="5" spans="1:10">
      <c r="B5" s="71"/>
      <c r="C5" s="76"/>
      <c r="D5" s="13" t="s">
        <v>164</v>
      </c>
      <c r="E5" s="90"/>
      <c r="F5" s="90"/>
    </row>
    <row r="6" spans="1:10">
      <c r="B6" s="71"/>
      <c r="C6" s="76"/>
      <c r="D6" s="13" t="s">
        <v>165</v>
      </c>
      <c r="E6" s="90"/>
      <c r="F6" s="90"/>
    </row>
    <row r="7" spans="1:10">
      <c r="B7" s="71"/>
      <c r="C7" s="76"/>
      <c r="D7" s="13" t="s">
        <v>166</v>
      </c>
      <c r="E7" s="90"/>
      <c r="F7" s="90"/>
    </row>
    <row r="8" spans="1:10">
      <c r="B8" s="71"/>
      <c r="C8" s="76"/>
      <c r="D8" s="13" t="s">
        <v>167</v>
      </c>
      <c r="E8" s="90"/>
      <c r="F8" s="90"/>
    </row>
    <row r="9" spans="1:10">
      <c r="B9" s="71"/>
      <c r="C9" s="76"/>
      <c r="D9" s="13" t="s">
        <v>168</v>
      </c>
      <c r="E9" s="90"/>
      <c r="F9" s="90"/>
    </row>
    <row r="10" spans="1:10">
      <c r="B10" s="71"/>
      <c r="C10" s="76"/>
      <c r="D10" s="13" t="s">
        <v>169</v>
      </c>
      <c r="E10" s="90"/>
      <c r="F10" s="90"/>
    </row>
    <row r="11" spans="1:10">
      <c r="B11" s="71"/>
      <c r="C11" s="76"/>
      <c r="D11" s="13" t="s">
        <v>170</v>
      </c>
      <c r="E11" s="90"/>
      <c r="F11" s="90"/>
    </row>
    <row r="12" spans="1:10" ht="28.8" customHeight="1">
      <c r="B12" s="71"/>
      <c r="C12" s="76"/>
      <c r="D12" s="13" t="s">
        <v>171</v>
      </c>
      <c r="E12" s="90"/>
      <c r="F12" s="90"/>
    </row>
    <row r="13" spans="1:10" ht="14.4" customHeight="1">
      <c r="B13" s="71"/>
      <c r="C13" s="77" t="s">
        <v>360</v>
      </c>
      <c r="D13" s="13" t="s">
        <v>172</v>
      </c>
      <c r="E13" s="90" t="s">
        <v>146</v>
      </c>
      <c r="F13" s="90" cm="1">
        <f t="array" ref="F13">_xlfn.SWITCH(E13,"XS",1,"S",2,"M",3,"L",5,"XL",8,"XXL",13,"XXXL",21,"")</f>
        <v>3</v>
      </c>
    </row>
    <row r="14" spans="1:10">
      <c r="B14" s="71"/>
      <c r="C14" s="77"/>
      <c r="D14" s="13" t="s">
        <v>173</v>
      </c>
      <c r="E14" s="90"/>
      <c r="F14" s="90"/>
    </row>
    <row r="15" spans="1:10">
      <c r="B15" s="71"/>
      <c r="C15" s="77"/>
      <c r="D15" s="13" t="s">
        <v>174</v>
      </c>
      <c r="E15" s="90"/>
      <c r="F15" s="90"/>
    </row>
    <row r="16" spans="1:10">
      <c r="B16" s="71"/>
      <c r="C16" s="77"/>
      <c r="D16" s="13" t="s">
        <v>175</v>
      </c>
      <c r="E16" s="90"/>
      <c r="F16" s="90"/>
    </row>
    <row r="17" spans="2:6">
      <c r="B17" s="71"/>
      <c r="C17" s="77"/>
      <c r="D17" s="13" t="s">
        <v>176</v>
      </c>
      <c r="E17" s="90"/>
      <c r="F17" s="90"/>
    </row>
    <row r="18" spans="2:6">
      <c r="B18" s="71"/>
      <c r="C18" s="76">
        <v>1.3</v>
      </c>
      <c r="D18" s="13" t="s">
        <v>177</v>
      </c>
      <c r="E18" s="90" t="s">
        <v>145</v>
      </c>
      <c r="F18" s="90" cm="1">
        <f t="array" ref="F18">_xlfn.SWITCH(E18,"XS",1,"S",2,"M",3,"L",5,"XL",8,"XXL",13,"XXXL",21,"")</f>
        <v>2</v>
      </c>
    </row>
    <row r="19" spans="2:6">
      <c r="B19" s="71"/>
      <c r="C19" s="76"/>
      <c r="D19" s="13" t="s">
        <v>178</v>
      </c>
      <c r="E19" s="90"/>
      <c r="F19" s="90"/>
    </row>
    <row r="20" spans="2:6" ht="28.8" customHeight="1">
      <c r="B20" s="71"/>
      <c r="C20" s="76"/>
      <c r="D20" s="13" t="s">
        <v>179</v>
      </c>
      <c r="E20" s="90"/>
      <c r="F20" s="90"/>
    </row>
    <row r="21" spans="2:6" ht="28.8" customHeight="1">
      <c r="B21" s="71"/>
      <c r="C21" s="76"/>
      <c r="D21" s="13" t="s">
        <v>180</v>
      </c>
      <c r="E21" s="90"/>
      <c r="F21" s="90"/>
    </row>
    <row r="22" spans="2:6" ht="28.8" customHeight="1">
      <c r="B22" s="71"/>
      <c r="C22" s="76"/>
      <c r="D22" s="13" t="s">
        <v>181</v>
      </c>
      <c r="E22" s="90"/>
      <c r="F22" s="90"/>
    </row>
    <row r="23" spans="2:6">
      <c r="B23" s="71"/>
      <c r="C23" s="71">
        <v>1.4</v>
      </c>
      <c r="D23" s="13" t="s">
        <v>182</v>
      </c>
    </row>
    <row r="24" spans="2:6">
      <c r="B24" s="71"/>
      <c r="C24" s="71"/>
      <c r="D24" s="13" t="s">
        <v>183</v>
      </c>
    </row>
    <row r="25" spans="2:6">
      <c r="B25" s="71"/>
      <c r="C25" s="71"/>
      <c r="D25" s="13" t="s">
        <v>184</v>
      </c>
    </row>
    <row r="26" spans="2:6">
      <c r="B26" s="71"/>
      <c r="C26" s="71"/>
      <c r="D26" s="13" t="s">
        <v>185</v>
      </c>
    </row>
    <row r="27" spans="2:6" ht="28.8" customHeight="1">
      <c r="B27" s="71"/>
      <c r="C27" s="71"/>
      <c r="D27" s="13" t="s">
        <v>186</v>
      </c>
    </row>
    <row r="28" spans="2:6">
      <c r="B28" s="71">
        <v>2</v>
      </c>
      <c r="C28" s="68">
        <v>2.1</v>
      </c>
      <c r="D28" s="13" t="s">
        <v>187</v>
      </c>
    </row>
    <row r="29" spans="2:6">
      <c r="B29" s="71"/>
      <c r="C29" s="71">
        <v>2.2000000000000002</v>
      </c>
      <c r="D29" s="13" t="s">
        <v>189</v>
      </c>
    </row>
    <row r="30" spans="2:6">
      <c r="B30" s="71"/>
      <c r="C30" s="71"/>
      <c r="D30" s="13" t="s">
        <v>188</v>
      </c>
    </row>
    <row r="31" spans="2:6">
      <c r="B31" s="71"/>
      <c r="C31" s="71"/>
      <c r="D31" s="13" t="s">
        <v>190</v>
      </c>
    </row>
    <row r="32" spans="2:6" ht="28.8" customHeight="1">
      <c r="B32" s="71"/>
      <c r="C32" s="71"/>
      <c r="D32" s="13" t="s">
        <v>191</v>
      </c>
    </row>
    <row r="33" spans="2:4">
      <c r="B33" s="71"/>
      <c r="C33" s="71"/>
      <c r="D33" s="13" t="s">
        <v>192</v>
      </c>
    </row>
    <row r="34" spans="2:4">
      <c r="B34" s="71"/>
      <c r="C34" s="71"/>
      <c r="D34" s="13" t="s">
        <v>193</v>
      </c>
    </row>
    <row r="35" spans="2:4">
      <c r="B35" s="71"/>
      <c r="C35" s="71"/>
      <c r="D35" s="13" t="s">
        <v>194</v>
      </c>
    </row>
    <row r="36" spans="2:4">
      <c r="B36" s="71"/>
      <c r="C36" s="71">
        <v>2.2999999999999998</v>
      </c>
      <c r="D36" s="13" t="s">
        <v>195</v>
      </c>
    </row>
    <row r="37" spans="2:4">
      <c r="B37" s="71"/>
      <c r="C37" s="71"/>
      <c r="D37" s="13" t="s">
        <v>196</v>
      </c>
    </row>
    <row r="38" spans="2:4" ht="28.8" customHeight="1">
      <c r="B38" s="71"/>
      <c r="C38" s="71"/>
      <c r="D38" s="13" t="s">
        <v>197</v>
      </c>
    </row>
    <row r="39" spans="2:4" ht="28.8" customHeight="1">
      <c r="B39" s="71"/>
      <c r="C39" s="71"/>
      <c r="D39" s="13" t="s">
        <v>400</v>
      </c>
    </row>
    <row r="40" spans="2:4">
      <c r="B40" s="71"/>
      <c r="C40" s="71"/>
      <c r="D40" s="13" t="s">
        <v>198</v>
      </c>
    </row>
    <row r="41" spans="2:4">
      <c r="B41" s="71"/>
      <c r="C41" s="71"/>
      <c r="D41" s="13" t="s">
        <v>199</v>
      </c>
    </row>
    <row r="42" spans="2:4" ht="28.8" customHeight="1">
      <c r="B42" s="71"/>
      <c r="C42" s="71"/>
      <c r="D42" s="13" t="s">
        <v>200</v>
      </c>
    </row>
    <row r="43" spans="2:4" ht="28.8" customHeight="1">
      <c r="B43" s="71"/>
      <c r="C43" s="71">
        <v>2.4</v>
      </c>
      <c r="D43" s="13" t="s">
        <v>201</v>
      </c>
    </row>
    <row r="44" spans="2:4" ht="28.8" customHeight="1">
      <c r="B44" s="71"/>
      <c r="C44" s="71"/>
      <c r="D44" s="13" t="s">
        <v>202</v>
      </c>
    </row>
    <row r="45" spans="2:4">
      <c r="B45" s="71"/>
      <c r="C45" s="71"/>
      <c r="D45" s="13" t="s">
        <v>203</v>
      </c>
    </row>
    <row r="46" spans="2:4">
      <c r="B46" s="71"/>
      <c r="C46" s="71"/>
      <c r="D46" s="13" t="s">
        <v>204</v>
      </c>
    </row>
    <row r="47" spans="2:4">
      <c r="B47" s="71"/>
      <c r="C47" s="71"/>
      <c r="D47" s="13" t="s">
        <v>205</v>
      </c>
    </row>
    <row r="48" spans="2:4">
      <c r="B48" s="71"/>
      <c r="C48" s="71">
        <v>2.5</v>
      </c>
      <c r="D48" s="13" t="s">
        <v>206</v>
      </c>
    </row>
    <row r="49" spans="2:4">
      <c r="B49" s="71"/>
      <c r="C49" s="71"/>
      <c r="D49" s="13" t="s">
        <v>207</v>
      </c>
    </row>
    <row r="50" spans="2:4">
      <c r="B50" s="71"/>
      <c r="C50" s="71"/>
      <c r="D50" s="13" t="s">
        <v>208</v>
      </c>
    </row>
    <row r="51" spans="2:4">
      <c r="B51" s="71"/>
      <c r="C51" s="71"/>
      <c r="D51" s="13" t="s">
        <v>209</v>
      </c>
    </row>
    <row r="52" spans="2:4" ht="28.8" customHeight="1">
      <c r="B52" s="71"/>
      <c r="C52" s="71"/>
      <c r="D52" s="13" t="s">
        <v>210</v>
      </c>
    </row>
    <row r="53" spans="2:4" ht="28.8" customHeight="1">
      <c r="B53" s="71"/>
      <c r="C53" s="71"/>
      <c r="D53" s="13" t="s">
        <v>211</v>
      </c>
    </row>
    <row r="54" spans="2:4">
      <c r="B54" s="71"/>
      <c r="C54" s="71">
        <v>2.6</v>
      </c>
      <c r="D54" s="13" t="s">
        <v>212</v>
      </c>
    </row>
    <row r="55" spans="2:4" ht="28.8" customHeight="1">
      <c r="B55" s="71"/>
      <c r="C55" s="71"/>
      <c r="D55" s="67" t="s">
        <v>213</v>
      </c>
    </row>
    <row r="56" spans="2:4" ht="28.8" customHeight="1">
      <c r="B56" s="71"/>
      <c r="C56" s="71"/>
      <c r="D56" s="13" t="s">
        <v>214</v>
      </c>
    </row>
    <row r="57" spans="2:4">
      <c r="B57" s="71"/>
      <c r="C57" s="71"/>
      <c r="D57" s="13" t="s">
        <v>215</v>
      </c>
    </row>
    <row r="58" spans="2:4">
      <c r="B58" s="71">
        <v>3</v>
      </c>
      <c r="C58" s="71">
        <v>3.1</v>
      </c>
      <c r="D58" s="13" t="s">
        <v>216</v>
      </c>
    </row>
    <row r="59" spans="2:4">
      <c r="B59" s="71"/>
      <c r="C59" s="71"/>
      <c r="D59" s="13" t="s">
        <v>217</v>
      </c>
    </row>
    <row r="60" spans="2:4">
      <c r="B60" s="71"/>
      <c r="C60" s="71"/>
      <c r="D60" s="13" t="s">
        <v>218</v>
      </c>
    </row>
    <row r="61" spans="2:4">
      <c r="B61" s="71"/>
      <c r="C61" s="71"/>
      <c r="D61" s="13" t="s">
        <v>219</v>
      </c>
    </row>
    <row r="62" spans="2:4">
      <c r="B62" s="71"/>
      <c r="C62" s="71"/>
      <c r="D62" s="13" t="s">
        <v>220</v>
      </c>
    </row>
    <row r="63" spans="2:4">
      <c r="B63" s="71"/>
      <c r="C63" s="71"/>
      <c r="D63" s="13" t="s">
        <v>221</v>
      </c>
    </row>
    <row r="64" spans="2:4">
      <c r="B64" s="71"/>
      <c r="C64" s="71"/>
      <c r="D64" s="13" t="s">
        <v>222</v>
      </c>
    </row>
    <row r="65" spans="2:4">
      <c r="B65" s="71"/>
      <c r="C65" s="71">
        <v>3.2</v>
      </c>
      <c r="D65" s="13" t="s">
        <v>223</v>
      </c>
    </row>
    <row r="66" spans="2:4" ht="28.8" customHeight="1">
      <c r="B66" s="71"/>
      <c r="C66" s="71"/>
      <c r="D66" s="13" t="s">
        <v>224</v>
      </c>
    </row>
    <row r="67" spans="2:4">
      <c r="B67" s="71"/>
      <c r="C67" s="71"/>
      <c r="D67" s="13" t="s">
        <v>225</v>
      </c>
    </row>
    <row r="68" spans="2:4">
      <c r="B68" s="71"/>
      <c r="C68" s="71"/>
      <c r="D68" s="13" t="s">
        <v>226</v>
      </c>
    </row>
    <row r="69" spans="2:4">
      <c r="B69" s="71"/>
      <c r="C69" s="71"/>
      <c r="D69" s="13" t="s">
        <v>227</v>
      </c>
    </row>
    <row r="70" spans="2:4">
      <c r="B70" s="71"/>
      <c r="C70" s="71"/>
      <c r="D70" s="13" t="s">
        <v>228</v>
      </c>
    </row>
    <row r="71" spans="2:4">
      <c r="B71" s="71"/>
      <c r="C71" s="71"/>
      <c r="D71" s="13" t="s">
        <v>229</v>
      </c>
    </row>
    <row r="72" spans="2:4">
      <c r="B72" s="71"/>
      <c r="C72" s="71">
        <v>3.3</v>
      </c>
      <c r="D72" s="13" t="s">
        <v>230</v>
      </c>
    </row>
    <row r="73" spans="2:4">
      <c r="B73" s="71"/>
      <c r="C73" s="71"/>
      <c r="D73" s="13" t="s">
        <v>231</v>
      </c>
    </row>
    <row r="74" spans="2:4">
      <c r="B74" s="71"/>
      <c r="C74" s="71"/>
      <c r="D74" s="13" t="s">
        <v>401</v>
      </c>
    </row>
    <row r="75" spans="2:4">
      <c r="B75" s="71"/>
      <c r="C75" s="71"/>
      <c r="D75" s="13" t="s">
        <v>198</v>
      </c>
    </row>
    <row r="76" spans="2:4">
      <c r="B76" s="71"/>
      <c r="C76" s="71"/>
      <c r="D76" s="13" t="s">
        <v>232</v>
      </c>
    </row>
    <row r="77" spans="2:4" ht="28.8" customHeight="1">
      <c r="B77" s="71"/>
      <c r="C77" s="71"/>
      <c r="D77" s="13" t="s">
        <v>233</v>
      </c>
    </row>
    <row r="78" spans="2:4">
      <c r="B78" s="71"/>
      <c r="C78" s="71">
        <v>3.4</v>
      </c>
      <c r="D78" s="13" t="s">
        <v>396</v>
      </c>
    </row>
    <row r="79" spans="2:4" ht="28.8" customHeight="1">
      <c r="B79" s="71"/>
      <c r="C79" s="71"/>
      <c r="D79" s="13" t="s">
        <v>234</v>
      </c>
    </row>
    <row r="80" spans="2:4">
      <c r="B80" s="71"/>
      <c r="C80" s="71"/>
      <c r="D80" s="13" t="s">
        <v>397</v>
      </c>
    </row>
    <row r="81" spans="2:4">
      <c r="B81" s="71"/>
      <c r="C81" s="71"/>
      <c r="D81" s="13" t="s">
        <v>235</v>
      </c>
    </row>
    <row r="82" spans="2:4">
      <c r="B82" s="71"/>
      <c r="C82" s="71"/>
      <c r="D82" s="13" t="s">
        <v>236</v>
      </c>
    </row>
    <row r="83" spans="2:4" ht="28.8" customHeight="1">
      <c r="B83" s="71"/>
      <c r="C83" s="71"/>
      <c r="D83" s="13" t="s">
        <v>398</v>
      </c>
    </row>
    <row r="84" spans="2:4">
      <c r="B84" s="71"/>
      <c r="C84" s="71"/>
      <c r="D84" s="13" t="s">
        <v>399</v>
      </c>
    </row>
    <row r="85" spans="2:4">
      <c r="B85" s="71"/>
      <c r="C85" s="71"/>
      <c r="D85" s="13" t="s">
        <v>237</v>
      </c>
    </row>
    <row r="86" spans="2:4" ht="28.8" customHeight="1">
      <c r="B86" s="71"/>
      <c r="C86" s="71"/>
      <c r="D86" s="13" t="s">
        <v>238</v>
      </c>
    </row>
    <row r="87" spans="2:4" ht="28.8" customHeight="1">
      <c r="B87" s="71"/>
      <c r="C87" s="71"/>
      <c r="D87" t="s">
        <v>402</v>
      </c>
    </row>
    <row r="88" spans="2:4">
      <c r="B88" s="71"/>
      <c r="C88" s="71">
        <v>3.5</v>
      </c>
      <c r="D88" t="s">
        <v>239</v>
      </c>
    </row>
    <row r="89" spans="2:4">
      <c r="B89" s="71"/>
      <c r="C89" s="71"/>
      <c r="D89" t="s">
        <v>240</v>
      </c>
    </row>
    <row r="90" spans="2:4">
      <c r="B90" s="71"/>
      <c r="C90" s="71"/>
      <c r="D90" t="s">
        <v>241</v>
      </c>
    </row>
    <row r="91" spans="2:4">
      <c r="B91" s="71"/>
      <c r="C91" s="71"/>
      <c r="D91" t="s">
        <v>242</v>
      </c>
    </row>
    <row r="92" spans="2:4">
      <c r="B92" s="71"/>
      <c r="C92" s="71"/>
      <c r="D92" t="s">
        <v>243</v>
      </c>
    </row>
    <row r="93" spans="2:4">
      <c r="B93" s="71"/>
      <c r="C93" s="71"/>
      <c r="D93" t="s">
        <v>244</v>
      </c>
    </row>
    <row r="94" spans="2:4">
      <c r="B94" s="71"/>
      <c r="C94" s="71"/>
      <c r="D94" t="s">
        <v>245</v>
      </c>
    </row>
    <row r="95" spans="2:4">
      <c r="B95" s="71"/>
      <c r="C95" s="71">
        <v>3.6</v>
      </c>
      <c r="D95" t="s">
        <v>403</v>
      </c>
    </row>
    <row r="96" spans="2:4">
      <c r="B96" s="71"/>
      <c r="C96" s="71"/>
      <c r="D96" t="s">
        <v>246</v>
      </c>
    </row>
    <row r="97" spans="2:4">
      <c r="B97" s="71"/>
      <c r="C97" s="71"/>
      <c r="D97" t="s">
        <v>248</v>
      </c>
    </row>
    <row r="98" spans="2:4">
      <c r="B98" s="71"/>
      <c r="C98" s="71"/>
      <c r="D98" t="s">
        <v>247</v>
      </c>
    </row>
    <row r="99" spans="2:4">
      <c r="B99" s="71"/>
      <c r="C99" s="71"/>
      <c r="D99" t="s">
        <v>404</v>
      </c>
    </row>
    <row r="100" spans="2:4">
      <c r="B100" s="71"/>
      <c r="C100" s="71"/>
      <c r="D100" t="s">
        <v>405</v>
      </c>
    </row>
    <row r="101" spans="2:4">
      <c r="B101" s="71"/>
      <c r="C101" s="71"/>
      <c r="D101" t="s">
        <v>249</v>
      </c>
    </row>
    <row r="102" spans="2:4">
      <c r="B102" s="71"/>
      <c r="C102" s="71"/>
      <c r="D102" t="s">
        <v>250</v>
      </c>
    </row>
    <row r="103" spans="2:4">
      <c r="B103" s="71"/>
      <c r="C103" s="71"/>
      <c r="D103" t="s">
        <v>251</v>
      </c>
    </row>
    <row r="104" spans="2:4">
      <c r="B104" s="71"/>
      <c r="C104" s="71"/>
      <c r="D104" t="s">
        <v>252</v>
      </c>
    </row>
    <row r="105" spans="2:4">
      <c r="B105" s="71"/>
      <c r="C105" s="71"/>
      <c r="D105" t="s">
        <v>253</v>
      </c>
    </row>
    <row r="106" spans="2:4">
      <c r="B106" s="71"/>
      <c r="C106" s="71"/>
      <c r="D106" t="s">
        <v>254</v>
      </c>
    </row>
    <row r="107" spans="2:4">
      <c r="B107" s="71"/>
      <c r="C107" s="71"/>
      <c r="D107" t="s">
        <v>255</v>
      </c>
    </row>
    <row r="108" spans="2:4">
      <c r="B108" s="71"/>
      <c r="C108" s="71"/>
      <c r="D108" t="s">
        <v>256</v>
      </c>
    </row>
    <row r="109" spans="2:4">
      <c r="B109" s="71"/>
      <c r="C109" s="71"/>
      <c r="D109" t="s">
        <v>257</v>
      </c>
    </row>
    <row r="110" spans="2:4">
      <c r="B110" s="71"/>
      <c r="C110" s="71"/>
      <c r="D110" t="s">
        <v>258</v>
      </c>
    </row>
    <row r="111" spans="2:4">
      <c r="B111" s="71"/>
      <c r="C111" s="71"/>
      <c r="D111" t="s">
        <v>259</v>
      </c>
    </row>
    <row r="112" spans="2:4">
      <c r="B112" s="71"/>
      <c r="C112" s="71">
        <v>3.7</v>
      </c>
      <c r="D112" t="s">
        <v>260</v>
      </c>
    </row>
    <row r="113" spans="2:4">
      <c r="B113" s="71"/>
      <c r="C113" s="71"/>
      <c r="D113" t="s">
        <v>261</v>
      </c>
    </row>
    <row r="114" spans="2:4">
      <c r="B114" s="71"/>
      <c r="C114" s="71"/>
      <c r="D114" t="s">
        <v>262</v>
      </c>
    </row>
    <row r="115" spans="2:4">
      <c r="B115" s="71"/>
      <c r="C115" s="71"/>
      <c r="D115" t="s">
        <v>263</v>
      </c>
    </row>
    <row r="116" spans="2:4">
      <c r="B116" s="71"/>
      <c r="C116" s="71"/>
      <c r="D116" t="s">
        <v>264</v>
      </c>
    </row>
    <row r="117" spans="2:4">
      <c r="B117" s="71"/>
      <c r="C117" s="71"/>
      <c r="D117" t="s">
        <v>265</v>
      </c>
    </row>
    <row r="118" spans="2:4">
      <c r="B118" s="71"/>
      <c r="C118" s="71">
        <v>3.8</v>
      </c>
      <c r="D118" t="s">
        <v>295</v>
      </c>
    </row>
    <row r="119" spans="2:4">
      <c r="B119" s="71"/>
      <c r="C119" s="71"/>
      <c r="D119" t="s">
        <v>266</v>
      </c>
    </row>
    <row r="120" spans="2:4">
      <c r="B120" s="71"/>
      <c r="C120" s="71"/>
      <c r="D120" t="s">
        <v>267</v>
      </c>
    </row>
    <row r="121" spans="2:4">
      <c r="B121" s="71"/>
      <c r="C121" s="71"/>
      <c r="D121" t="s">
        <v>268</v>
      </c>
    </row>
    <row r="122" spans="2:4">
      <c r="B122" s="71"/>
      <c r="C122" s="71"/>
      <c r="D122" t="s">
        <v>269</v>
      </c>
    </row>
    <row r="123" spans="2:4">
      <c r="B123" s="71"/>
      <c r="C123" s="71"/>
      <c r="D123" t="s">
        <v>270</v>
      </c>
    </row>
    <row r="124" spans="2:4">
      <c r="B124" s="71"/>
      <c r="C124" s="71"/>
      <c r="D124" t="s">
        <v>271</v>
      </c>
    </row>
    <row r="125" spans="2:4">
      <c r="B125" s="71"/>
      <c r="C125" s="71"/>
      <c r="D125" t="s">
        <v>272</v>
      </c>
    </row>
    <row r="126" spans="2:4">
      <c r="B126" s="71"/>
      <c r="C126" s="71"/>
      <c r="D126" t="s">
        <v>296</v>
      </c>
    </row>
    <row r="127" spans="2:4">
      <c r="B127" s="71"/>
      <c r="C127" s="74">
        <v>3.9</v>
      </c>
      <c r="D127" t="s">
        <v>273</v>
      </c>
    </row>
    <row r="128" spans="2:4">
      <c r="B128" s="71"/>
      <c r="C128" s="74"/>
      <c r="D128" t="s">
        <v>274</v>
      </c>
    </row>
    <row r="129" spans="2:4">
      <c r="B129" s="71"/>
      <c r="C129" s="74"/>
      <c r="D129" t="s">
        <v>275</v>
      </c>
    </row>
    <row r="130" spans="2:4">
      <c r="B130" s="71"/>
      <c r="C130" s="74"/>
      <c r="D130" t="s">
        <v>276</v>
      </c>
    </row>
    <row r="131" spans="2:4">
      <c r="B131" s="71"/>
      <c r="C131" s="74"/>
      <c r="D131" t="s">
        <v>277</v>
      </c>
    </row>
    <row r="132" spans="2:4">
      <c r="B132" s="71"/>
      <c r="C132" s="74"/>
      <c r="D132" t="s">
        <v>278</v>
      </c>
    </row>
    <row r="133" spans="2:4">
      <c r="B133" s="71"/>
      <c r="C133" s="74"/>
      <c r="D133" t="s">
        <v>279</v>
      </c>
    </row>
    <row r="134" spans="2:4">
      <c r="B134" s="71"/>
      <c r="C134" s="74"/>
      <c r="D134" t="s">
        <v>280</v>
      </c>
    </row>
    <row r="135" spans="2:4">
      <c r="B135" s="71"/>
      <c r="C135" s="74"/>
      <c r="D135" t="s">
        <v>281</v>
      </c>
    </row>
    <row r="136" spans="2:4">
      <c r="B136" s="71"/>
      <c r="C136" s="74"/>
      <c r="D136" t="s">
        <v>406</v>
      </c>
    </row>
    <row r="137" spans="2:4">
      <c r="B137" s="71"/>
      <c r="C137" s="74"/>
      <c r="D137" t="s">
        <v>408</v>
      </c>
    </row>
    <row r="138" spans="2:4">
      <c r="B138" s="71"/>
      <c r="C138" s="75">
        <v>3.1</v>
      </c>
      <c r="D138" t="s">
        <v>282</v>
      </c>
    </row>
    <row r="139" spans="2:4">
      <c r="B139" s="71"/>
      <c r="C139" s="75"/>
      <c r="D139" t="s">
        <v>283</v>
      </c>
    </row>
    <row r="140" spans="2:4">
      <c r="B140" s="71"/>
      <c r="C140" s="75"/>
      <c r="D140" t="s">
        <v>284</v>
      </c>
    </row>
    <row r="141" spans="2:4">
      <c r="B141" s="71"/>
      <c r="C141" s="75"/>
      <c r="D141" t="s">
        <v>285</v>
      </c>
    </row>
    <row r="142" spans="2:4">
      <c r="B142" s="71"/>
      <c r="C142" s="75"/>
      <c r="D142" t="s">
        <v>286</v>
      </c>
    </row>
    <row r="143" spans="2:4">
      <c r="B143" s="71"/>
      <c r="C143" s="75"/>
      <c r="D143" t="s">
        <v>287</v>
      </c>
    </row>
    <row r="144" spans="2:4">
      <c r="B144" s="71"/>
      <c r="C144" s="75"/>
      <c r="D144" t="s">
        <v>288</v>
      </c>
    </row>
    <row r="145" spans="2:4">
      <c r="B145" s="71"/>
      <c r="C145" s="75"/>
      <c r="D145" t="s">
        <v>289</v>
      </c>
    </row>
    <row r="146" spans="2:4">
      <c r="B146" s="71"/>
      <c r="C146" s="75"/>
      <c r="D146" t="s">
        <v>290</v>
      </c>
    </row>
    <row r="147" spans="2:4">
      <c r="B147" s="71"/>
      <c r="C147" s="75"/>
      <c r="D147" t="s">
        <v>291</v>
      </c>
    </row>
    <row r="148" spans="2:4">
      <c r="B148" s="71"/>
      <c r="C148" s="71">
        <v>3.11</v>
      </c>
      <c r="D148" t="s">
        <v>294</v>
      </c>
    </row>
    <row r="149" spans="2:4">
      <c r="B149" s="71"/>
      <c r="C149" s="71"/>
      <c r="D149" t="s">
        <v>297</v>
      </c>
    </row>
    <row r="150" spans="2:4">
      <c r="B150" s="71"/>
      <c r="C150" s="71"/>
      <c r="D150" t="s">
        <v>292</v>
      </c>
    </row>
    <row r="151" spans="2:4">
      <c r="B151" s="71"/>
      <c r="C151" s="71"/>
      <c r="D151" t="s">
        <v>293</v>
      </c>
    </row>
    <row r="152" spans="2:4">
      <c r="B152" s="71"/>
      <c r="C152" s="71"/>
      <c r="D152" t="s">
        <v>199</v>
      </c>
    </row>
    <row r="153" spans="2:4">
      <c r="B153" s="71"/>
      <c r="C153" s="71">
        <v>3.12</v>
      </c>
      <c r="D153" s="69" t="s">
        <v>298</v>
      </c>
    </row>
    <row r="154" spans="2:4">
      <c r="B154" s="71"/>
      <c r="C154" s="71"/>
      <c r="D154" s="69" t="s">
        <v>299</v>
      </c>
    </row>
    <row r="155" spans="2:4">
      <c r="B155" s="71"/>
      <c r="C155" s="71"/>
      <c r="D155" s="69" t="s">
        <v>300</v>
      </c>
    </row>
    <row r="156" spans="2:4">
      <c r="B156" s="71"/>
      <c r="C156" s="71"/>
      <c r="D156" s="69" t="s">
        <v>301</v>
      </c>
    </row>
    <row r="157" spans="2:4">
      <c r="B157" s="71"/>
      <c r="C157" s="71"/>
      <c r="D157" s="69" t="s">
        <v>302</v>
      </c>
    </row>
    <row r="158" spans="2:4">
      <c r="B158" s="71"/>
      <c r="C158" s="71"/>
      <c r="D158" s="69" t="s">
        <v>303</v>
      </c>
    </row>
    <row r="159" spans="2:4">
      <c r="B159" s="71"/>
      <c r="C159" s="71"/>
      <c r="D159" s="69" t="s">
        <v>304</v>
      </c>
    </row>
    <row r="160" spans="2:4">
      <c r="B160" s="71"/>
      <c r="C160" s="71"/>
      <c r="D160" s="69" t="s">
        <v>305</v>
      </c>
    </row>
    <row r="161" spans="2:4">
      <c r="B161" s="71"/>
      <c r="C161" s="71"/>
      <c r="D161" s="69" t="s">
        <v>410</v>
      </c>
    </row>
    <row r="162" spans="2:4">
      <c r="B162" s="71"/>
      <c r="C162" s="71"/>
      <c r="D162" s="69" t="s">
        <v>306</v>
      </c>
    </row>
    <row r="163" spans="2:4">
      <c r="B163" s="71"/>
      <c r="C163" s="71"/>
      <c r="D163" s="69" t="s">
        <v>307</v>
      </c>
    </row>
    <row r="164" spans="2:4">
      <c r="B164" s="71"/>
      <c r="C164" s="71"/>
      <c r="D164" s="69" t="s">
        <v>308</v>
      </c>
    </row>
    <row r="165" spans="2:4">
      <c r="B165" s="71"/>
      <c r="C165" s="71"/>
      <c r="D165" s="69" t="s">
        <v>309</v>
      </c>
    </row>
    <row r="166" spans="2:4">
      <c r="B166" s="71"/>
      <c r="C166" s="71">
        <v>3.13</v>
      </c>
      <c r="D166" t="s">
        <v>370</v>
      </c>
    </row>
    <row r="167" spans="2:4">
      <c r="B167" s="71"/>
      <c r="C167" s="71"/>
      <c r="D167" t="s">
        <v>371</v>
      </c>
    </row>
    <row r="168" spans="2:4">
      <c r="B168" s="71"/>
      <c r="C168" s="71"/>
      <c r="D168" t="s">
        <v>372</v>
      </c>
    </row>
    <row r="169" spans="2:4">
      <c r="B169" s="71"/>
      <c r="C169" s="71"/>
      <c r="D169" t="s">
        <v>373</v>
      </c>
    </row>
    <row r="170" spans="2:4">
      <c r="B170" s="71"/>
      <c r="C170" s="71"/>
      <c r="D170" t="s">
        <v>374</v>
      </c>
    </row>
    <row r="171" spans="2:4">
      <c r="B171" s="71"/>
      <c r="C171" s="71"/>
      <c r="D171" t="s">
        <v>375</v>
      </c>
    </row>
    <row r="172" spans="2:4">
      <c r="B172" s="71"/>
      <c r="C172" s="71"/>
      <c r="D172" t="s">
        <v>409</v>
      </c>
    </row>
    <row r="173" spans="2:4">
      <c r="B173" s="71"/>
      <c r="C173" s="71"/>
      <c r="D173" t="s">
        <v>376</v>
      </c>
    </row>
    <row r="174" spans="2:4">
      <c r="B174" s="71"/>
      <c r="C174" s="71"/>
      <c r="D174" t="s">
        <v>377</v>
      </c>
    </row>
    <row r="175" spans="2:4">
      <c r="B175" s="71"/>
      <c r="C175" s="71"/>
      <c r="D175" t="s">
        <v>407</v>
      </c>
    </row>
    <row r="176" spans="2:4">
      <c r="B176" s="71"/>
      <c r="C176" s="71"/>
      <c r="D176" t="s">
        <v>378</v>
      </c>
    </row>
    <row r="177" spans="2:4">
      <c r="B177" s="71"/>
      <c r="C177" s="71"/>
      <c r="D177" t="s">
        <v>235</v>
      </c>
    </row>
    <row r="178" spans="2:4">
      <c r="B178" s="71"/>
      <c r="C178" s="71"/>
      <c r="D178" t="s">
        <v>379</v>
      </c>
    </row>
    <row r="179" spans="2:4">
      <c r="B179" s="71"/>
      <c r="C179" s="71">
        <v>3.14</v>
      </c>
      <c r="D179" t="s">
        <v>310</v>
      </c>
    </row>
    <row r="180" spans="2:4">
      <c r="B180" s="71"/>
      <c r="C180" s="71"/>
      <c r="D180" t="s">
        <v>311</v>
      </c>
    </row>
    <row r="181" spans="2:4">
      <c r="B181" s="71"/>
      <c r="C181" s="71"/>
      <c r="D181" t="s">
        <v>312</v>
      </c>
    </row>
    <row r="182" spans="2:4">
      <c r="B182" s="71"/>
      <c r="C182" s="71"/>
      <c r="D182" t="s">
        <v>313</v>
      </c>
    </row>
    <row r="183" spans="2:4">
      <c r="B183" s="71"/>
      <c r="C183" s="71"/>
      <c r="D183" t="s">
        <v>314</v>
      </c>
    </row>
    <row r="184" spans="2:4">
      <c r="B184" s="71"/>
      <c r="C184" s="71"/>
      <c r="D184" t="s">
        <v>315</v>
      </c>
    </row>
    <row r="185" spans="2:4">
      <c r="B185" s="71"/>
      <c r="C185" s="71"/>
      <c r="D185" t="s">
        <v>316</v>
      </c>
    </row>
    <row r="186" spans="2:4">
      <c r="B186" s="71"/>
      <c r="C186" s="71"/>
      <c r="D186" t="s">
        <v>317</v>
      </c>
    </row>
    <row r="187" spans="2:4">
      <c r="B187" s="71"/>
      <c r="C187" s="71"/>
      <c r="D187" t="s">
        <v>318</v>
      </c>
    </row>
    <row r="188" spans="2:4">
      <c r="B188" s="71"/>
      <c r="C188" s="71"/>
      <c r="D188" t="s">
        <v>319</v>
      </c>
    </row>
    <row r="189" spans="2:4">
      <c r="B189" s="71"/>
      <c r="C189" s="71"/>
      <c r="D189" t="s">
        <v>320</v>
      </c>
    </row>
    <row r="190" spans="2:4">
      <c r="B190" s="71"/>
      <c r="C190" s="71"/>
      <c r="D190" t="s">
        <v>321</v>
      </c>
    </row>
    <row r="191" spans="2:4">
      <c r="B191" s="71"/>
      <c r="C191" s="71">
        <v>3.15</v>
      </c>
      <c r="D191" t="s">
        <v>322</v>
      </c>
    </row>
    <row r="192" spans="2:4">
      <c r="B192" s="71"/>
      <c r="C192" s="71"/>
      <c r="D192" t="s">
        <v>323</v>
      </c>
    </row>
    <row r="193" spans="2:4">
      <c r="B193" s="71"/>
      <c r="C193" s="71"/>
      <c r="D193" t="s">
        <v>324</v>
      </c>
    </row>
    <row r="194" spans="2:4">
      <c r="B194" s="71"/>
      <c r="C194" s="71"/>
      <c r="D194" t="s">
        <v>325</v>
      </c>
    </row>
    <row r="195" spans="2:4">
      <c r="B195" s="71"/>
      <c r="C195" s="71"/>
      <c r="D195" t="s">
        <v>326</v>
      </c>
    </row>
    <row r="196" spans="2:4">
      <c r="B196" s="71"/>
      <c r="C196" s="71"/>
      <c r="D196" t="s">
        <v>327</v>
      </c>
    </row>
    <row r="197" spans="2:4">
      <c r="B197" s="71"/>
      <c r="C197" s="71"/>
      <c r="D197" t="s">
        <v>328</v>
      </c>
    </row>
    <row r="198" spans="2:4">
      <c r="B198" s="71"/>
      <c r="C198" s="71"/>
      <c r="D198" t="s">
        <v>329</v>
      </c>
    </row>
    <row r="199" spans="2:4">
      <c r="B199" s="71"/>
      <c r="C199" s="71"/>
      <c r="D199" t="s">
        <v>330</v>
      </c>
    </row>
    <row r="200" spans="2:4">
      <c r="B200" s="71"/>
      <c r="C200" s="71"/>
      <c r="D200" t="s">
        <v>331</v>
      </c>
    </row>
    <row r="201" spans="2:4">
      <c r="B201" s="71"/>
      <c r="C201" s="71"/>
      <c r="D201" t="s">
        <v>332</v>
      </c>
    </row>
    <row r="202" spans="2:4">
      <c r="B202" s="71"/>
      <c r="C202" s="71"/>
      <c r="D202" t="s">
        <v>333</v>
      </c>
    </row>
    <row r="203" spans="2:4">
      <c r="B203" s="71"/>
      <c r="C203" s="71"/>
      <c r="D203" t="s">
        <v>334</v>
      </c>
    </row>
    <row r="204" spans="2:4">
      <c r="B204" s="71"/>
      <c r="C204" s="71"/>
      <c r="D204" t="s">
        <v>335</v>
      </c>
    </row>
    <row r="205" spans="2:4">
      <c r="B205" s="71"/>
      <c r="C205" s="71">
        <v>3.16</v>
      </c>
      <c r="D205" t="s">
        <v>336</v>
      </c>
    </row>
    <row r="206" spans="2:4">
      <c r="B206" s="71"/>
      <c r="C206" s="71"/>
      <c r="D206" t="s">
        <v>337</v>
      </c>
    </row>
    <row r="207" spans="2:4">
      <c r="B207" s="71"/>
      <c r="C207" s="71"/>
      <c r="D207" t="s">
        <v>338</v>
      </c>
    </row>
    <row r="208" spans="2:4">
      <c r="B208" s="71"/>
      <c r="C208" s="71"/>
      <c r="D208" t="s">
        <v>339</v>
      </c>
    </row>
    <row r="209" spans="2:4">
      <c r="B209" s="71"/>
      <c r="C209" s="71"/>
      <c r="D209" t="s">
        <v>340</v>
      </c>
    </row>
    <row r="210" spans="2:4">
      <c r="B210" s="71"/>
      <c r="C210" s="71"/>
      <c r="D210" t="s">
        <v>341</v>
      </c>
    </row>
    <row r="211" spans="2:4">
      <c r="B211" s="71"/>
      <c r="C211" s="71">
        <v>3.17</v>
      </c>
      <c r="D211" t="s">
        <v>342</v>
      </c>
    </row>
    <row r="212" spans="2:4">
      <c r="B212" s="71"/>
      <c r="C212" s="71"/>
      <c r="D212" t="s">
        <v>343</v>
      </c>
    </row>
    <row r="213" spans="2:4">
      <c r="B213" s="71"/>
      <c r="C213" s="71"/>
      <c r="D213" t="s">
        <v>344</v>
      </c>
    </row>
    <row r="214" spans="2:4">
      <c r="B214" s="71"/>
      <c r="C214" s="71"/>
      <c r="D214" t="s">
        <v>345</v>
      </c>
    </row>
    <row r="215" spans="2:4">
      <c r="B215" s="71"/>
      <c r="C215" s="71"/>
      <c r="D215" t="s">
        <v>346</v>
      </c>
    </row>
    <row r="216" spans="2:4">
      <c r="B216" s="71"/>
      <c r="C216" s="71"/>
      <c r="D216" t="s">
        <v>347</v>
      </c>
    </row>
    <row r="217" spans="2:4">
      <c r="B217" s="71"/>
      <c r="C217" s="71">
        <v>3.18</v>
      </c>
      <c r="D217" t="s">
        <v>348</v>
      </c>
    </row>
    <row r="218" spans="2:4">
      <c r="B218" s="71"/>
      <c r="C218" s="71"/>
      <c r="D218" t="s">
        <v>349</v>
      </c>
    </row>
    <row r="219" spans="2:4">
      <c r="B219" s="71"/>
      <c r="C219" s="71"/>
      <c r="D219" t="s">
        <v>350</v>
      </c>
    </row>
    <row r="220" spans="2:4">
      <c r="B220" s="71"/>
      <c r="C220" s="71"/>
      <c r="D220" t="s">
        <v>351</v>
      </c>
    </row>
    <row r="221" spans="2:4">
      <c r="B221" s="71"/>
      <c r="C221" s="71"/>
      <c r="D221" t="s">
        <v>352</v>
      </c>
    </row>
    <row r="222" spans="2:4">
      <c r="B222" s="71"/>
      <c r="C222" s="71"/>
      <c r="D222" t="s">
        <v>353</v>
      </c>
    </row>
    <row r="223" spans="2:4">
      <c r="B223" s="71"/>
      <c r="C223" s="71"/>
      <c r="D223" t="s">
        <v>354</v>
      </c>
    </row>
    <row r="224" spans="2:4">
      <c r="B224" s="71"/>
      <c r="C224" s="71"/>
      <c r="D224" t="s">
        <v>355</v>
      </c>
    </row>
    <row r="225" spans="2:4">
      <c r="B225" s="71"/>
      <c r="C225" s="71"/>
      <c r="D225" t="s">
        <v>356</v>
      </c>
    </row>
    <row r="226" spans="2:4">
      <c r="B226" s="71"/>
      <c r="C226" s="71"/>
      <c r="D226" t="s">
        <v>357</v>
      </c>
    </row>
    <row r="227" spans="2:4">
      <c r="B227" s="71"/>
      <c r="C227" s="71"/>
      <c r="D227" t="s">
        <v>358</v>
      </c>
    </row>
    <row r="228" spans="2:4">
      <c r="B228" s="71"/>
      <c r="C228" s="71"/>
      <c r="D228" t="s">
        <v>359</v>
      </c>
    </row>
    <row r="229" spans="2:4">
      <c r="B229" s="71">
        <v>4</v>
      </c>
      <c r="C229" s="71">
        <v>4.0999999999999996</v>
      </c>
      <c r="D229" t="s">
        <v>361</v>
      </c>
    </row>
    <row r="230" spans="2:4">
      <c r="B230" s="71"/>
      <c r="C230" s="71"/>
      <c r="D230" t="s">
        <v>362</v>
      </c>
    </row>
    <row r="231" spans="2:4">
      <c r="B231" s="71"/>
      <c r="C231" s="71"/>
      <c r="D231" t="s">
        <v>363</v>
      </c>
    </row>
    <row r="232" spans="2:4">
      <c r="B232" s="71"/>
      <c r="C232" s="71"/>
      <c r="D232" t="s">
        <v>364</v>
      </c>
    </row>
    <row r="233" spans="2:4">
      <c r="B233" s="71"/>
      <c r="C233" s="71"/>
      <c r="D233" t="s">
        <v>365</v>
      </c>
    </row>
    <row r="234" spans="2:4">
      <c r="B234" s="71"/>
      <c r="C234" s="71"/>
      <c r="D234" t="s">
        <v>366</v>
      </c>
    </row>
    <row r="235" spans="2:4">
      <c r="B235" s="71"/>
      <c r="C235" s="71"/>
      <c r="D235" t="s">
        <v>367</v>
      </c>
    </row>
    <row r="236" spans="2:4">
      <c r="B236" s="71"/>
      <c r="C236" s="71"/>
      <c r="D236" t="s">
        <v>368</v>
      </c>
    </row>
    <row r="237" spans="2:4">
      <c r="B237" s="71"/>
      <c r="C237" s="71"/>
      <c r="D237" t="s">
        <v>369</v>
      </c>
    </row>
    <row r="238" spans="2:4">
      <c r="B238" s="71"/>
      <c r="C238" s="71">
        <v>4.2</v>
      </c>
      <c r="D238" t="s">
        <v>380</v>
      </c>
    </row>
    <row r="239" spans="2:4">
      <c r="B239" s="71"/>
      <c r="C239" s="71"/>
      <c r="D239" t="s">
        <v>381</v>
      </c>
    </row>
    <row r="240" spans="2:4">
      <c r="B240" s="71"/>
      <c r="C240" s="71"/>
      <c r="D240" t="s">
        <v>382</v>
      </c>
    </row>
    <row r="241" spans="2:4">
      <c r="B241" s="71"/>
      <c r="C241" s="71"/>
      <c r="D241" t="s">
        <v>383</v>
      </c>
    </row>
    <row r="242" spans="2:4">
      <c r="B242" s="71"/>
      <c r="C242" s="71"/>
      <c r="D242" t="s">
        <v>384</v>
      </c>
    </row>
    <row r="243" spans="2:4">
      <c r="B243" s="71"/>
      <c r="C243" s="71"/>
      <c r="D243" t="s">
        <v>385</v>
      </c>
    </row>
    <row r="244" spans="2:4">
      <c r="B244" s="71"/>
      <c r="C244" s="71"/>
      <c r="D244" t="s">
        <v>386</v>
      </c>
    </row>
    <row r="245" spans="2:4">
      <c r="B245" s="71"/>
      <c r="C245" s="71"/>
      <c r="D245" t="s">
        <v>387</v>
      </c>
    </row>
    <row r="246" spans="2:4">
      <c r="B246" s="71"/>
      <c r="C246" s="71"/>
      <c r="D246" t="s">
        <v>388</v>
      </c>
    </row>
    <row r="247" spans="2:4">
      <c r="B247" s="71"/>
      <c r="C247" s="71">
        <v>4.3</v>
      </c>
      <c r="D247" t="s">
        <v>389</v>
      </c>
    </row>
    <row r="248" spans="2:4">
      <c r="B248" s="71"/>
      <c r="C248" s="71"/>
      <c r="D248" t="s">
        <v>390</v>
      </c>
    </row>
    <row r="249" spans="2:4">
      <c r="B249" s="71"/>
      <c r="C249" s="71"/>
      <c r="D249" t="s">
        <v>391</v>
      </c>
    </row>
    <row r="250" spans="2:4">
      <c r="B250" s="71"/>
      <c r="C250" s="71"/>
      <c r="D250" t="s">
        <v>392</v>
      </c>
    </row>
    <row r="251" spans="2:4">
      <c r="B251" s="71"/>
      <c r="C251" s="71"/>
      <c r="D251" t="s">
        <v>393</v>
      </c>
    </row>
    <row r="252" spans="2:4">
      <c r="B252" s="71"/>
      <c r="C252" s="71"/>
      <c r="D252" t="s">
        <v>394</v>
      </c>
    </row>
    <row r="253" spans="2:4">
      <c r="B253" s="71"/>
      <c r="C253" s="71"/>
      <c r="D253" t="s">
        <v>395</v>
      </c>
    </row>
  </sheetData>
  <mergeCells count="41">
    <mergeCell ref="F3:F12"/>
    <mergeCell ref="E13:E17"/>
    <mergeCell ref="F13:F17"/>
    <mergeCell ref="E18:E22"/>
    <mergeCell ref="F18:F22"/>
    <mergeCell ref="C13:C17"/>
    <mergeCell ref="C18:C22"/>
    <mergeCell ref="C23:C27"/>
    <mergeCell ref="E3:E12"/>
    <mergeCell ref="A1:J1"/>
    <mergeCell ref="C166:C178"/>
    <mergeCell ref="C179:C190"/>
    <mergeCell ref="C191:C204"/>
    <mergeCell ref="C205:C210"/>
    <mergeCell ref="C54:C57"/>
    <mergeCell ref="C58:C64"/>
    <mergeCell ref="C65:C71"/>
    <mergeCell ref="C72:C77"/>
    <mergeCell ref="C78:C87"/>
    <mergeCell ref="C88:C94"/>
    <mergeCell ref="C95:C111"/>
    <mergeCell ref="C112:C117"/>
    <mergeCell ref="C118:C126"/>
    <mergeCell ref="C127:C137"/>
    <mergeCell ref="C138:C147"/>
    <mergeCell ref="C247:C253"/>
    <mergeCell ref="B229:B253"/>
    <mergeCell ref="B58:B228"/>
    <mergeCell ref="B28:B57"/>
    <mergeCell ref="B3:B27"/>
    <mergeCell ref="C211:C216"/>
    <mergeCell ref="C217:C228"/>
    <mergeCell ref="C229:C237"/>
    <mergeCell ref="C238:C246"/>
    <mergeCell ref="C148:C152"/>
    <mergeCell ref="C153:C165"/>
    <mergeCell ref="C29:C35"/>
    <mergeCell ref="C36:C42"/>
    <mergeCell ref="C43:C47"/>
    <mergeCell ref="C48:C53"/>
    <mergeCell ref="C3:C12"/>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F10"/>
  <sheetViews>
    <sheetView zoomScale="115" zoomScaleNormal="115" workbookViewId="0">
      <pane ySplit="2" topLeftCell="A4" activePane="bottomLeft" state="frozen"/>
      <selection pane="bottomLeft" activeCell="E1" sqref="E1:E1048576"/>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s>
  <sheetData>
    <row r="1" spans="1:6">
      <c r="A1" s="59"/>
      <c r="B1" s="85" t="s">
        <v>105</v>
      </c>
      <c r="C1" s="85"/>
      <c r="D1" s="85"/>
      <c r="E1" s="59"/>
      <c r="F1" s="59"/>
    </row>
    <row r="2" spans="1:6">
      <c r="A2" s="53" t="s">
        <v>10</v>
      </c>
      <c r="B2" s="53" t="s">
        <v>154</v>
      </c>
      <c r="C2" s="53" t="s">
        <v>130</v>
      </c>
      <c r="D2" s="53" t="s">
        <v>131</v>
      </c>
      <c r="E2" s="53" t="s">
        <v>140</v>
      </c>
      <c r="F2" s="53" t="s">
        <v>142</v>
      </c>
    </row>
    <row r="3" spans="1:6" ht="100.8">
      <c r="A3" s="87">
        <v>1</v>
      </c>
      <c r="B3" s="62" t="s">
        <v>132</v>
      </c>
      <c r="C3" s="57" t="s">
        <v>134</v>
      </c>
      <c r="D3" s="57" t="s">
        <v>135</v>
      </c>
      <c r="E3" s="57" t="s">
        <v>412</v>
      </c>
    </row>
    <row r="4" spans="1:6" ht="158.4">
      <c r="A4" s="66">
        <v>2</v>
      </c>
      <c r="B4" s="62" t="s">
        <v>132</v>
      </c>
      <c r="C4" s="57" t="s">
        <v>137</v>
      </c>
      <c r="D4" s="1" t="s">
        <v>143</v>
      </c>
      <c r="E4" s="57" t="s">
        <v>156</v>
      </c>
    </row>
    <row r="5" spans="1:6" s="13" customFormat="1" ht="294" customHeight="1">
      <c r="A5" s="1">
        <v>3</v>
      </c>
      <c r="B5" s="88" t="s">
        <v>132</v>
      </c>
      <c r="C5" s="57" t="s">
        <v>141</v>
      </c>
      <c r="D5" s="1" t="s">
        <v>414</v>
      </c>
      <c r="E5" s="57" t="s">
        <v>413</v>
      </c>
    </row>
    <row r="6" spans="1:6" ht="86.4">
      <c r="A6" s="66">
        <v>4</v>
      </c>
      <c r="B6" s="89" t="s">
        <v>132</v>
      </c>
      <c r="C6" s="57" t="s">
        <v>152</v>
      </c>
      <c r="D6" s="1" t="s">
        <v>155</v>
      </c>
      <c r="E6" s="57" t="s">
        <v>415</v>
      </c>
    </row>
    <row r="7" spans="1:6">
      <c r="A7" s="33"/>
      <c r="B7" s="14"/>
      <c r="C7" s="14"/>
      <c r="D7" s="1"/>
    </row>
    <row r="8" spans="1:6">
      <c r="A8" s="33"/>
      <c r="B8" s="14"/>
      <c r="C8" s="1"/>
    </row>
    <row r="9" spans="1:6">
      <c r="A9" s="14"/>
      <c r="B9" s="14"/>
      <c r="C9" s="14"/>
      <c r="D9" s="31"/>
    </row>
    <row r="10" spans="1:6">
      <c r="A10" s="14"/>
      <c r="B10" s="14"/>
      <c r="C10" s="14"/>
      <c r="D10" s="31"/>
    </row>
  </sheetData>
  <mergeCells count="1">
    <mergeCell ref="B1:D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86" t="s">
        <v>151</v>
      </c>
      <c r="B1" s="86"/>
      <c r="C1" s="86"/>
      <c r="D1" s="86"/>
      <c r="E1" s="86"/>
      <c r="F1" s="86"/>
      <c r="G1" s="86"/>
    </row>
    <row r="2" spans="1:7">
      <c r="A2" s="63" t="s">
        <v>144</v>
      </c>
      <c r="B2" s="63" t="s">
        <v>145</v>
      </c>
      <c r="C2" s="63" t="s">
        <v>146</v>
      </c>
      <c r="D2" s="63" t="s">
        <v>147</v>
      </c>
      <c r="E2" s="63" t="s">
        <v>148</v>
      </c>
      <c r="F2" s="63" t="s">
        <v>149</v>
      </c>
      <c r="G2" s="63" t="s">
        <v>150</v>
      </c>
    </row>
    <row r="3" spans="1:7">
      <c r="A3" s="63">
        <v>1</v>
      </c>
      <c r="B3" s="63">
        <v>2</v>
      </c>
      <c r="C3" s="63">
        <f>A3+B3</f>
        <v>3</v>
      </c>
      <c r="D3" s="63">
        <f t="shared" ref="D3:G3" si="0">B3+C3</f>
        <v>5</v>
      </c>
      <c r="E3" s="63">
        <f t="shared" si="0"/>
        <v>8</v>
      </c>
      <c r="F3" s="64">
        <f t="shared" si="0"/>
        <v>13</v>
      </c>
      <c r="G3" s="65">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Plan</vt:lpstr>
      <vt:lpstr>Sprint Plan</vt:lpstr>
      <vt:lpstr>Sprint Backlog</vt:lpstr>
      <vt:lpstr>Sheet2</vt:lpstr>
      <vt:lpstr>Product Backlog</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2026-08-21T13:11:05Z</dcterms:modified>
</cp:coreProperties>
</file>