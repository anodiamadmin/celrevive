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filterPrivacy="1" defaultThemeVersion="124226"/>
  <xr:revisionPtr revIDLastSave="0" documentId="13_ncr:1_{7C90FACC-3880-453D-920A-227FB67A67F6}" xr6:coauthVersionLast="47" xr6:coauthVersionMax="47" xr10:uidLastSave="{00000000-0000-0000-0000-000000000000}"/>
  <bookViews>
    <workbookView xWindow="-108" yWindow="-108" windowWidth="23256" windowHeight="13176" activeTab="2" xr2:uid="{00000000-000D-0000-FFFF-FFFF00000000}"/>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0" l="1" a="1"/>
  <c r="F14" i="10" s="1"/>
  <c r="F15" i="10" s="1"/>
  <c r="F4" i="10" a="1"/>
  <c r="F4" i="10" s="1"/>
  <c r="F5" i="10" a="1"/>
  <c r="F5" i="10" s="1"/>
  <c r="F6" i="10" a="1"/>
  <c r="F6" i="10" s="1"/>
  <c r="F7" i="10" a="1"/>
  <c r="F7" i="10" s="1"/>
  <c r="F8" i="10" a="1"/>
  <c r="F8" i="10" s="1"/>
  <c r="F9" i="10" a="1"/>
  <c r="F9" i="10" s="1"/>
  <c r="F10" i="10" a="1"/>
  <c r="F10" i="10" s="1"/>
  <c r="F11" i="10" a="1"/>
  <c r="F11" i="10" s="1"/>
  <c r="F12" i="10" a="1"/>
  <c r="F12" i="10" s="1"/>
  <c r="F13" i="10" a="1"/>
  <c r="F13" i="10" s="1"/>
  <c r="F3" i="10" a="1"/>
  <c r="F3" i="10" s="1"/>
  <c r="F12" i="8" a="1"/>
  <c r="F12" i="8" s="1"/>
  <c r="F3" i="8" a="1"/>
  <c r="F3" i="8" s="1"/>
  <c r="C3" i="5"/>
  <c r="D3" i="5" s="1"/>
  <c r="D2" i="9" l="1"/>
  <c r="D3" i="9"/>
  <c r="D4" i="9"/>
  <c r="D5" i="9"/>
  <c r="D6" i="9"/>
  <c r="D7" i="9"/>
  <c r="D8" i="9"/>
  <c r="D9" i="9"/>
  <c r="C10" i="9"/>
  <c r="D10" i="9"/>
  <c r="C9" i="9"/>
  <c r="C7" i="9"/>
  <c r="C6" i="9"/>
  <c r="C5" i="9"/>
  <c r="C4" i="9"/>
  <c r="C3" i="9"/>
  <c r="C2" i="9"/>
  <c r="C8" i="9"/>
  <c r="F3" i="5"/>
  <c r="E3" i="5"/>
  <c r="G3"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tc={233094A3-3D2A-436A-904F-A8273DA397F5}</author>
  </authors>
  <commentList>
    <comment ref="E5" authorId="0" shapeId="0" xr:uid="{233094A3-3D2A-436A-904F-A8273DA397F5}">
      <text>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A6123E30-2FFB-4B36-8675-D2A1F49CF554}">
      <text>
        <r>
          <rPr>
            <b/>
            <sz val="9"/>
            <color indexed="81"/>
            <rFont val="Tahoma"/>
            <family val="2"/>
          </rPr>
          <t>Author:</t>
        </r>
        <r>
          <rPr>
            <sz val="9"/>
            <color indexed="81"/>
            <rFont val="Tahoma"/>
            <family val="2"/>
          </rPr>
          <t xml:space="preserve">
TBD
WiP
Done</t>
        </r>
      </text>
    </comment>
    <comment ref="C3" authorId="0" shapeId="0" xr:uid="{3BEE7270-9E5D-4C3B-88E0-91F05B9BD669}">
      <text>
        <r>
          <rPr>
            <b/>
            <sz val="9"/>
            <color indexed="81"/>
            <rFont val="Tahoma"/>
            <charset val="1"/>
          </rPr>
          <t>Author:</t>
        </r>
        <r>
          <rPr>
            <sz val="9"/>
            <color indexed="81"/>
            <rFont val="Tahoma"/>
            <charset val="1"/>
          </rPr>
          <t xml:space="preserve">
Receive &amp; Validate Image</t>
        </r>
      </text>
    </comment>
    <comment ref="C12" authorId="0" shapeId="0" xr:uid="{D5A9F85E-92E8-4B8A-B751-650E1FE2569F}">
      <text>
        <r>
          <rPr>
            <b/>
            <sz val="9"/>
            <color indexed="81"/>
            <rFont val="Tahoma"/>
            <charset val="1"/>
          </rPr>
          <t>Author:</t>
        </r>
        <r>
          <rPr>
            <sz val="9"/>
            <color indexed="81"/>
            <rFont val="Tahoma"/>
            <charset val="1"/>
          </rPr>
          <t xml:space="preserve">
Image Quality Decision</t>
        </r>
      </text>
    </comment>
    <comment ref="C15" authorId="0" shapeId="0" xr:uid="{EFBBA07C-E254-4781-9933-E074E562E094}">
      <text>
        <r>
          <rPr>
            <b/>
            <sz val="9"/>
            <color indexed="81"/>
            <rFont val="Tahoma"/>
            <family val="2"/>
          </rPr>
          <t>Author:</t>
        </r>
        <r>
          <rPr>
            <sz val="9"/>
            <color indexed="81"/>
            <rFont val="Tahoma"/>
            <charset val="1"/>
          </rPr>
          <t xml:space="preserve">
Rejection Flow</t>
        </r>
      </text>
    </comment>
    <comment ref="C18" authorId="0" shapeId="0" xr:uid="{08C2F3F8-DE97-42AE-B963-708E64840735}">
      <text>
        <r>
          <rPr>
            <b/>
            <sz val="9"/>
            <color indexed="81"/>
            <rFont val="Tahoma"/>
            <family val="2"/>
          </rPr>
          <t>Author:</t>
        </r>
        <r>
          <rPr>
            <sz val="9"/>
            <color indexed="81"/>
            <rFont val="Tahoma"/>
            <charset val="1"/>
          </rPr>
          <t xml:space="preserve">
Testing</t>
        </r>
      </text>
    </comment>
    <comment ref="C26" authorId="0" shapeId="0" xr:uid="{98BE6294-CAA3-4259-A595-9BA237237285}">
      <text>
        <r>
          <rPr>
            <b/>
            <sz val="9"/>
            <color indexed="81"/>
            <rFont val="Tahoma"/>
            <family val="2"/>
          </rPr>
          <t>Author:</t>
        </r>
        <r>
          <rPr>
            <sz val="9"/>
            <color indexed="81"/>
            <rFont val="Tahoma"/>
            <family val="2"/>
          </rPr>
          <t xml:space="preserve">
Image Session Storage
</t>
        </r>
      </text>
    </comment>
    <comment ref="C29" authorId="0" shapeId="0" xr:uid="{140A5E96-154A-4162-A239-1DBD3E41810C}">
      <text>
        <r>
          <rPr>
            <b/>
            <sz val="9"/>
            <color indexed="81"/>
            <rFont val="Tahoma"/>
            <family val="2"/>
          </rPr>
          <t>Author:</t>
        </r>
        <r>
          <rPr>
            <sz val="9"/>
            <color indexed="81"/>
            <rFont val="Tahoma"/>
            <family val="2"/>
          </rPr>
          <t xml:space="preserve">
Visual AI Output</t>
        </r>
      </text>
    </comment>
    <comment ref="C31" authorId="0" shapeId="0" xr:uid="{E3A3B5A0-0F07-42D5-9D6D-8B8281899F6E}">
      <text>
        <r>
          <rPr>
            <b/>
            <sz val="9"/>
            <color indexed="81"/>
            <rFont val="Tahoma"/>
            <family val="2"/>
          </rPr>
          <t>Author:</t>
        </r>
        <r>
          <rPr>
            <sz val="9"/>
            <color indexed="81"/>
            <rFont val="Tahoma"/>
            <family val="2"/>
          </rPr>
          <t xml:space="preserve">
Visual AI Prompt</t>
        </r>
      </text>
    </comment>
    <comment ref="C38" authorId="0" shapeId="0" xr:uid="{FDDD7F68-C10A-4FC9-9764-CDD59417EB55}">
      <text>
        <r>
          <rPr>
            <b/>
            <sz val="9"/>
            <color indexed="81"/>
            <rFont val="Tahoma"/>
            <family val="2"/>
          </rPr>
          <t>Author:</t>
        </r>
        <r>
          <rPr>
            <sz val="9"/>
            <color indexed="81"/>
            <rFont val="Tahoma"/>
            <family val="2"/>
          </rPr>
          <t xml:space="preserve">
Visual AI Integration</t>
        </r>
      </text>
    </comment>
    <comment ref="C46" authorId="0" shapeId="0" xr:uid="{51C480C2-E212-4A32-86A1-5F704BCFF728}">
      <text>
        <r>
          <rPr>
            <b/>
            <sz val="9"/>
            <color indexed="81"/>
            <rFont val="Tahoma"/>
            <family val="2"/>
          </rPr>
          <t>Author:</t>
        </r>
        <r>
          <rPr>
            <sz val="9"/>
            <color indexed="81"/>
            <rFont val="Tahoma"/>
            <family val="2"/>
          </rPr>
          <t xml:space="preserve">
 Store Visual Analysis</t>
        </r>
      </text>
    </comment>
    <comment ref="C50" authorId="0" shapeId="0" xr:uid="{52553FD1-E265-4535-9DD2-2EA05E499E51}">
      <text>
        <r>
          <rPr>
            <b/>
            <sz val="9"/>
            <color indexed="81"/>
            <rFont val="Tahoma"/>
            <family val="2"/>
          </rPr>
          <t>Author:</t>
        </r>
        <r>
          <rPr>
            <sz val="9"/>
            <color indexed="81"/>
            <rFont val="Tahoma"/>
            <family val="2"/>
          </rPr>
          <t xml:space="preserve">
Testing</t>
        </r>
      </text>
    </comment>
    <comment ref="C59" authorId="0" shapeId="0" xr:uid="{E4589DAE-73CB-47AB-AD0F-AB8AF18DDD65}">
      <text>
        <r>
          <rPr>
            <b/>
            <sz val="9"/>
            <color indexed="81"/>
            <rFont val="Tahoma"/>
            <family val="2"/>
          </rPr>
          <t>Author:</t>
        </r>
        <r>
          <rPr>
            <sz val="9"/>
            <color indexed="81"/>
            <rFont val="Tahoma"/>
            <family val="2"/>
          </rPr>
          <t xml:space="preserve">
Questionnaire Collection</t>
        </r>
      </text>
    </comment>
    <comment ref="C65" authorId="0" shapeId="0" xr:uid="{D05C5BAE-0CC4-4ED2-88B6-98BF1ED2B235}">
      <text>
        <r>
          <rPr>
            <b/>
            <sz val="9"/>
            <color indexed="81"/>
            <rFont val="Tahoma"/>
            <family val="2"/>
          </rPr>
          <t>Author:</t>
        </r>
        <r>
          <rPr>
            <sz val="9"/>
            <color indexed="81"/>
            <rFont val="Tahoma"/>
            <family val="2"/>
          </rPr>
          <t xml:space="preserve">
Questionnaire LLM Analysis</t>
        </r>
      </text>
    </comment>
    <comment ref="C77" authorId="0" shapeId="0" xr:uid="{8C37B025-1BDA-457E-ADB8-C6B979CBD1B1}">
      <text>
        <r>
          <rPr>
            <b/>
            <sz val="9"/>
            <color indexed="81"/>
            <rFont val="Tahoma"/>
            <family val="2"/>
          </rPr>
          <t>Author:</t>
        </r>
        <r>
          <rPr>
            <sz val="9"/>
            <color indexed="81"/>
            <rFont val="Tahoma"/>
            <family val="2"/>
          </rPr>
          <t xml:space="preserve">
Concern Fusion</t>
        </r>
      </text>
    </comment>
    <comment ref="C88" authorId="0" shapeId="0" xr:uid="{D1A59F32-F52A-4554-9D45-7BAAF46B83A7}">
      <text>
        <r>
          <rPr>
            <b/>
            <sz val="9"/>
            <color indexed="81"/>
            <rFont val="Tahoma"/>
            <family val="2"/>
          </rPr>
          <t>Author:</t>
        </r>
        <r>
          <rPr>
            <sz val="9"/>
            <color indexed="81"/>
            <rFont val="Tahoma"/>
            <family val="2"/>
          </rPr>
          <t xml:space="preserve">
Candidate Generation</t>
        </r>
      </text>
    </comment>
    <comment ref="C101" authorId="0" shapeId="0" xr:uid="{29757E96-410A-48C6-A86D-C6221515FA91}">
      <text>
        <r>
          <rPr>
            <b/>
            <sz val="9"/>
            <color indexed="81"/>
            <rFont val="Tahoma"/>
            <family val="2"/>
          </rPr>
          <t>Author:</t>
        </r>
        <r>
          <rPr>
            <sz val="9"/>
            <color indexed="81"/>
            <rFont val="Tahoma"/>
            <family val="2"/>
          </rPr>
          <t xml:space="preserve">
Recommendation Generation</t>
        </r>
      </text>
    </comment>
    <comment ref="C110" authorId="0" shapeId="0" xr:uid="{C9E3522F-95B1-4BD8-BE53-4B604FDEA74C}">
      <text>
        <r>
          <rPr>
            <b/>
            <sz val="9"/>
            <color indexed="81"/>
            <rFont val="Tahoma"/>
            <family val="2"/>
          </rPr>
          <t>Author:</t>
        </r>
        <r>
          <rPr>
            <sz val="9"/>
            <color indexed="81"/>
            <rFont val="Tahoma"/>
            <family val="2"/>
          </rPr>
          <t xml:space="preserve">
Recommendation Persistence</t>
        </r>
      </text>
    </comment>
    <comment ref="C116" authorId="0" shapeId="0" xr:uid="{87018544-F456-4F26-A7A5-F72A08475131}">
      <text>
        <r>
          <rPr>
            <b/>
            <sz val="9"/>
            <color indexed="81"/>
            <rFont val="Tahoma"/>
            <family val="2"/>
          </rPr>
          <t>Author:</t>
        </r>
        <r>
          <rPr>
            <sz val="9"/>
            <color indexed="81"/>
            <rFont val="Tahoma"/>
            <family val="2"/>
          </rPr>
          <t xml:space="preserve">
Final Recommendation Response</t>
        </r>
      </text>
    </comment>
    <comment ref="C127" authorId="0" shapeId="0" xr:uid="{EC2B78D7-751C-44BB-9D07-F55A82442F1A}">
      <text>
        <r>
          <rPr>
            <b/>
            <sz val="9"/>
            <color indexed="81"/>
            <rFont val="Tahoma"/>
            <family val="2"/>
          </rPr>
          <t>Author:</t>
        </r>
        <r>
          <rPr>
            <sz val="9"/>
            <color indexed="81"/>
            <rFont val="Tahoma"/>
            <family val="2"/>
          </rPr>
          <t xml:space="preserve">
Recommendation Screen</t>
        </r>
      </text>
    </comment>
    <comment ref="C137" authorId="0" shapeId="0" xr:uid="{99C81342-5268-4323-82B8-DCB2C87D9E02}">
      <text>
        <r>
          <rPr>
            <b/>
            <sz val="9"/>
            <color indexed="81"/>
            <rFont val="Tahoma"/>
            <family val="2"/>
          </rPr>
          <t>Author:</t>
        </r>
        <r>
          <rPr>
            <sz val="9"/>
            <color indexed="81"/>
            <rFont val="Tahoma"/>
            <family val="2"/>
          </rPr>
          <t xml:space="preserve">
Recommendation Error Handling</t>
        </r>
      </text>
    </comment>
    <comment ref="C142" authorId="0" shapeId="0" xr:uid="{73BA3055-4675-4813-88D0-50B14C092AF1}">
      <text>
        <r>
          <rPr>
            <b/>
            <sz val="9"/>
            <color indexed="81"/>
            <rFont val="Tahoma"/>
            <family val="2"/>
          </rPr>
          <t>Author:</t>
        </r>
        <r>
          <rPr>
            <sz val="9"/>
            <color indexed="81"/>
            <rFont val="Tahoma"/>
            <family val="2"/>
          </rPr>
          <t xml:space="preserve">
Testing</t>
        </r>
      </text>
    </comment>
    <comment ref="C157" authorId="0" shapeId="0" xr:uid="{706E98C8-4B35-46F2-B926-68F27F8F78A4}">
      <text>
        <r>
          <rPr>
            <b/>
            <sz val="9"/>
            <color indexed="81"/>
            <rFont val="Tahoma"/>
            <family val="2"/>
          </rPr>
          <t>Author:</t>
        </r>
        <r>
          <rPr>
            <sz val="9"/>
            <color indexed="81"/>
            <rFont val="Tahoma"/>
            <family val="2"/>
          </rPr>
          <t xml:space="preserve">
Shopify Cart Integration</t>
        </r>
      </text>
    </comment>
    <comment ref="C161" authorId="0" shapeId="0" xr:uid="{A79A220B-8C29-48AD-9825-8780EE217E6A}">
      <text>
        <r>
          <rPr>
            <b/>
            <sz val="9"/>
            <color indexed="81"/>
            <rFont val="Tahoma"/>
            <family val="2"/>
          </rPr>
          <t>Author:</t>
        </r>
        <r>
          <rPr>
            <sz val="9"/>
            <color indexed="81"/>
            <rFont val="Tahoma"/>
            <family val="2"/>
          </rPr>
          <t xml:space="preserve">
Add to Cart Backend</t>
        </r>
      </text>
    </comment>
    <comment ref="C168" authorId="0" shapeId="0" xr:uid="{C4E0F00C-6245-4423-9EA8-8A42808307DE}">
      <text>
        <r>
          <rPr>
            <b/>
            <sz val="9"/>
            <color indexed="81"/>
            <rFont val="Tahoma"/>
            <family val="2"/>
          </rPr>
          <t>Author:</t>
        </r>
        <r>
          <rPr>
            <sz val="9"/>
            <color indexed="81"/>
            <rFont val="Tahoma"/>
            <family val="2"/>
          </rPr>
          <t xml:space="preserve">
Add to Cart UI</t>
        </r>
      </text>
    </comment>
    <comment ref="C174" authorId="0" shapeId="0" xr:uid="{D8702894-1958-4EC2-ACC6-FDE92A697344}">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4C8D1B9E-A5AC-43BE-8365-C18029D3B009}">
      <text>
        <r>
          <rPr>
            <b/>
            <sz val="9"/>
            <color indexed="81"/>
            <rFont val="Tahoma"/>
            <family val="2"/>
          </rPr>
          <t>Author:</t>
        </r>
        <r>
          <rPr>
            <sz val="9"/>
            <color indexed="81"/>
            <rFont val="Tahoma"/>
            <family val="2"/>
          </rPr>
          <t xml:space="preserve">
TBD
WiP
Done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<sst xmlns="http://schemas.openxmlformats.org/spreadsheetml/2006/main" count="321" uniqueCount="269">
  <si>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</si>
  <si>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</si>
  <si>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</si>
  <si>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</si>
  <si>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</si>
  <si>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</si>
  <si>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</si>
  <si>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</si>
  <si>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</si>
  <si>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</si>
  <si>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</si>
  <si>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</si>
  <si>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</si>
  <si>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</si>
  <si>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</si>
  <si>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</si>
  <si>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</si>
  <si>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</si>
  <si>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</si>
  <si>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</si>
  <si>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</si>
  <si>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</si>
  <si>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</si>
  <si>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</si>
  <si>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</si>
  <si>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</si>
  <si>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</si>
  <si>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</si>
  <si>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</si>
  <si>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</si>
  <si>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</si>
  <si>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</si>
  <si>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</si>
  <si>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</si>
  <si>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</si>
  <si>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</si>
  <si>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</si>
  <si>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</si>
  <si>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</si>
  <si>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</si>
  <si>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</si>
  <si>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</si>
  <si>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</si>
  <si>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</si>
  <si>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</si>
  <si>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</si>
  <si>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</si>
  <si>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</si>
  <si>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</si>
  <si>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</si>
  <si>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</si>
  <si>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</si>
  <si>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4. Skin analysis results: Sensitivity Level: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</si>
  <si>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</si>
  <si>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</si>
  <si>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</si>
  <si>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</si>
  <si>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</si>
  <si>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</si>
  <si>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</si>
  <si>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</si>
  <si>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</si>
  <si>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</si>
  <si>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</si>
  <si>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</si>
  <si>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</si>
  <si>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</si>
  <si>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</si>
  <si>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</si>
  <si>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</si>
  <si>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</si>
  <si>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</si>
  <si>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</si>
  <si>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</si>
  <si>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</si>
  <si>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</si>
  <si>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</si>
  <si>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</si>
  <si>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</si>
  <si>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</si>
  <si>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</si>
  <si>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</si>
  <si>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</si>
  <si>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</si>
  <si>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</si>
  <si>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</si>
  <si>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</si>
  <si>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</si>
  <si>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</si>
  <si>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</si>
  <si>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</si>
  <si>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</si>
  <si>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</si>
  <si>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</si>
  <si>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</si>
  <si>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</si>
  <si>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</si>
  <si>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</si>
  <si>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</si>
  <si>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</si>
  <si>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</si>
  <si>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</si>
  <si>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</si>
  <si>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</si>
  <si>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</si>
  <si>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</si>
  <si>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</si>
  <si>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</si>
  <si>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</si>
  <si>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</si>
  <si>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</si>
  <si>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</si>
  <si>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</si>
  <si>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</si>
  <si>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</si>
  <si>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</si>
  <si>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</si>
  <si>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</si>
  <si>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</si>
  <si>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</si>
  <si>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</si>
  <si>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</si>
  <si>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</si>
  <si>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</si>
  <si>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</si>
  <si>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</si>
  <si>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</si>
  <si>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</si>
  <si>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</si>
  <si>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</si>
  <si>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</si>
  <si>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</si>
  <si>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</si>
  <si>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</si>
  <si>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</si>
  <si>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</si>
  <si>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</si>
  <si>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</si>
  <si>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</si>
  <si>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</si>
  <si>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</si>
  <si>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</si>
  <si>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</si>
  <si>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</si>
  <si>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</si>
  <si>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</si>
  <si>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</si>
  <si>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</si>
  <si>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</si>
  <si>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</si>
  <si>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</si>
  <si>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</si>
  <si>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</si>
  <si>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</si>
  <si>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</si>
  <si>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</si>
  <si>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</si>
  <si>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</si>
  <si>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</si>
  <si>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</si>
  <si>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</si>
  <si>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</si>
  <si>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</si>
  <si>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</si>
  <si>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</si>
  <si>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</si>
  <si>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</si>
  <si>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</si>
  <si>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</si>
  <si>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</si>
  <si>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</si>
  <si>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</si>
  <si>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</si>
  <si>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</si>
  <si>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</si>
  <si>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</si>
  <si>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</si>
  <si>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</si>
  <si>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</si>
  <si>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</si>
  <si>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</si>
  <si>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</si>
  <si>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</si>
  <si>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</si>
  <si>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</si>
  <si>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</si>
  <si>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</si>
  <si>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</si>
  <si>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</si>
  <si>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</si>
  <si>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</si>
  <si>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</si>
  <si>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</si>
  <si>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</si>
  <si>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</si>
  <si>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</si>
  <si>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</si>
  <si>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</si>
  <si>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</si>
  <si>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</si>
  <si>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</si>
  <si>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</si>
  <si>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</si>
  <si>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</si>
  <si>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</si>
  <si>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</si>
  <si>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</si>
  <si>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</si>
  <si>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</si>
  <si>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</si>
  <si>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</si>
  <si>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</si>
  <si>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</si>
  <si>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</si>
  <si>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</si>
  <si>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</si>
  <si>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</si>
  <si>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</si>
  <si>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</si>
  <si>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</si>
  <si>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</si>
  <si>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</si>
  <si>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</si>
  <si>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</si>
  <si>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</si>
  <si>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</si>
  <si>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</si>
  <si>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</si>
  <si>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</si>
  <si>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</si>
  <si>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</si>
  <si>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</si>
  <si>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</si>
  <si>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</si>
  <si>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</si>
  <si>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</si>
  <si>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Display questionnaire to user
Collect questionnaire answers
Validate required questionnaire fields
Store questionnaire answers in questionnaire_response
Associate questionnaire response with current customer_session
Submit questionnaire for LLM analysis</t>
  </si>
  <si>
    <t>Define questionnaire-analysis LLM prompt
Pass questionnaire JSON to LLM
Define concern extraction rules
Define skin-type extraction
Define sensitivity extraction
Define questionnaire-only concern handling
Validate LLM response
Handle malformed LLM response
Handle LLM/API failure
Store questionnaire detection result in session_skin_concern_detection
Store LLM-generated explanations
Store raw detection JSON</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</si>
  <si>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</si>
  <si>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Retrieve combined skin concerns
Retrieve relevant concern_benefit mappings
Retrieve active_benefit_score data
Calculate/rank active candidates
Retrieve applicable bases using questionnaire/session information
Apply age suitability
Apply skin-type suitability
Apply climate/location considerations
Apply acne-suitability requirements
Apply questionnaire preferences
Check base-active compatibility
Produce candidate bases
Produce candidate actives</t>
  </si>
  <si>
    <t>Pass candidate information and relevant RAG information to LLM
Generate recommended base
Generate recommended active ingredients
Generate explanation for selected base
Generate explanation for selected actives
Ensure selected actives address detected concerns
Ensure selected actives are compatible with selected base
Generate formulation information
Validate recommendation output</t>
  </si>
  <si>
    <t>Create recommendation_run
Store selected base in recommendation_base
Store selected actives in recommendation_active
Store recommendation explanations
Store recommendation scores/ranks where applicable
Store final formatted response in recommendation_output</t>
  </si>
  <si>
    <t>Build final response containing user full name
Include combined primary skin concerns
Include skin type
Include sensitivity level
Include recommended base
Include recommended active ingredients
Include active percentages/quantities
Include formulation weight
Include formulation explanation
Include formulation/recommendation ID
Return recommendation response to Shopify widget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</si>
  <si>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</si>
  <si>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Handle no-compatible-recommendation case
Handle LLM failure
Handle database failure
Handle invalid recommendation/formulation
Return appropriate frontend error response</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</si>
  <si>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</si>
  <si>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</si>
  <si>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Receive formulation ID from frontend
Retrieve saved formulation
Verify formulation belongs to the logged-in customer/session
Verify formulation is valid
Add recommended formulation/product to Shopify cart
Attach required formulation metadata
Return cart response</t>
  </si>
  <si>
    <t>Implement Add to Cart button
Disable button while request is processing
Call Add to Cart API
Display successful cart-addition state
Handle Add to Cart failure
Prevent duplicate submissions</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</si>
  <si>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</si>
  <si>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</si>
  <si>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</si>
  <si>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Rajanya</t>
  </si>
  <si>
    <t>Everyone</t>
  </si>
  <si>
    <t>Sayan</t>
  </si>
  <si>
    <t>Azad, Sayan</t>
  </si>
  <si>
    <t>Priority</t>
  </si>
  <si>
    <t>Receive image from Shopify widget and pass it to the image-validation service
Validate uploaded image filetype before image processing 
Validate uploaded image can be decoded/read
Validate image resolution against the configured minimum resolution.
Calculate image sharpness score.
Calculate image brightness/lighting score.
Define/configure blur rejection threshold
Define/configure low-light rejection threshold
Define/configure minimum resolution threshold</t>
  </si>
  <si>
    <t>Combine all image-quality checks into one image-validation API call - POST /image-validation
Reject image when any required quality check fails. 
Accept image only when all required quality checks pass.</t>
  </si>
  <si>
    <r>
      <t xml:space="preserve">Store accepted image in </t>
    </r>
    <r>
      <rPr>
        <b/>
        <sz val="11"/>
        <color theme="1"/>
        <rFont val="Calibri"/>
        <family val="2"/>
        <scheme val="minor"/>
      </rPr>
      <t xml:space="preserve">skin_image </t>
    </r>
    <r>
      <rPr>
        <sz val="11"/>
        <color theme="1"/>
        <rFont val="Calibri"/>
        <family val="2"/>
        <scheme val="minor"/>
      </rPr>
      <t>database table.</t>
    </r>
    <r>
      <rPr>
        <b/>
        <sz val="11"/>
        <color theme="1"/>
        <rFont val="Calibri"/>
        <family val="2"/>
        <scheme val="minor"/>
      </rPr>
      <t xml:space="preserve">
</t>
    </r>
    <r>
      <rPr>
        <sz val="11"/>
        <color theme="1"/>
        <rFont val="Calibri"/>
        <family val="2"/>
        <scheme val="minor"/>
      </rPr>
      <t xml:space="preserve">Associate the stored image with the current </t>
    </r>
    <r>
      <rPr>
        <b/>
        <sz val="11"/>
        <color theme="1"/>
        <rFont val="Calibri"/>
        <family val="2"/>
        <scheme val="minor"/>
      </rPr>
      <t>customer_session</t>
    </r>
    <r>
      <rPr>
        <sz val="11"/>
        <color theme="1"/>
        <rFont val="Calibri"/>
        <family val="2"/>
        <scheme val="minor"/>
      </rPr>
      <t xml:space="preserve"> database record using the session identifier.</t>
    </r>
    <r>
      <rPr>
        <b/>
        <sz val="11"/>
        <color theme="1"/>
        <rFont val="Calibri"/>
        <family val="2"/>
        <scheme val="minor"/>
      </rPr>
      <t xml:space="preserve">
</t>
    </r>
    <r>
      <rPr>
        <sz val="11"/>
        <color theme="1"/>
        <rFont val="Calibri"/>
        <family val="2"/>
        <scheme val="minor"/>
      </rPr>
      <t xml:space="preserve">Trigger the asynchronous Visual AI image analysis process for the accepted image
Redirect user to static questionnaire page immediately after image validation succeeds. </t>
    </r>
  </si>
  <si>
    <r>
      <t xml:space="preserve">Define Visual AI response JSON schema using </t>
    </r>
    <r>
      <rPr>
        <b/>
        <sz val="11"/>
        <color theme="1"/>
        <rFont val="Calibri"/>
        <family val="2"/>
        <scheme val="minor"/>
      </rPr>
      <t xml:space="preserve">image_detection.json </t>
    </r>
    <r>
      <rPr>
        <sz val="11"/>
        <color theme="1"/>
        <rFont val="Calibri"/>
        <family val="2"/>
        <scheme val="minor"/>
      </rPr>
      <t xml:space="preserve">as the schema definition.
Define the </t>
    </r>
    <r>
      <rPr>
        <b/>
        <sz val="11"/>
        <color theme="1"/>
        <rFont val="Calibri"/>
        <family val="2"/>
        <scheme val="minor"/>
      </rPr>
      <t xml:space="preserve">skin_concern_id </t>
    </r>
    <r>
      <rPr>
        <sz val="11"/>
        <color theme="1"/>
        <rFont val="Calibri"/>
        <family val="2"/>
        <scheme val="minor"/>
      </rPr>
      <t xml:space="preserve">field in the Visual AI response.
Restrict </t>
    </r>
    <r>
      <rPr>
        <b/>
        <sz val="11"/>
        <color theme="1"/>
        <rFont val="Calibri"/>
        <family val="2"/>
        <scheme val="minor"/>
      </rPr>
      <t>skin_concern_id</t>
    </r>
    <r>
      <rPr>
        <sz val="11"/>
        <color theme="1"/>
        <rFont val="Calibri"/>
        <family val="2"/>
        <scheme val="minor"/>
      </rPr>
      <t xml:space="preserve"> values to </t>
    </r>
    <r>
      <rPr>
        <b/>
        <sz val="11"/>
        <color theme="1"/>
        <rFont val="Calibri"/>
        <family val="2"/>
        <scheme val="minor"/>
      </rPr>
      <t>SC0001–SC0019, SC1001–SC1009.</t>
    </r>
  </si>
  <si>
    <t>Define Visual AI system prompt
Define image-analysis instructions
Define skin-concern detection rules
Restrict output to supported concern IDs
Define no-concern behaviour
Require AI explanation for every detected concerns
Require JSON-only response</t>
  </si>
  <si>
    <r>
      <t xml:space="preserve">Send accepted image to Visual AI API for image analysis
Validate Visual AI response against Visual AI response JSON schema
Validate every returned </t>
    </r>
    <r>
      <rPr>
        <b/>
        <sz val="11"/>
        <color theme="1"/>
        <rFont val="Calibri"/>
        <family val="2"/>
        <scheme val="minor"/>
      </rPr>
      <t>skin_concern_id</t>
    </r>
    <r>
      <rPr>
        <sz val="11"/>
        <color theme="1"/>
        <rFont val="Calibri"/>
        <family val="2"/>
        <scheme val="minor"/>
      </rPr>
      <t xml:space="preserve"> against the supported concern-ID list. 
Handle duplicate concern IDs before storing the results
Handle unsupported concern IDs 
Handle empty/no-concern response
Handle malformed AI response
Handle AI/API failure</t>
    </r>
  </si>
  <si>
    <r>
      <t xml:space="preserve">Store the validated Visual AI result in </t>
    </r>
    <r>
      <rPr>
        <b/>
        <sz val="11"/>
        <color theme="1"/>
        <rFont val="Calibri"/>
        <family val="2"/>
        <scheme val="minor"/>
      </rPr>
      <t>session_skin_concern_detection</t>
    </r>
    <r>
      <rPr>
        <sz val="11"/>
        <color theme="1"/>
        <rFont val="Calibri"/>
        <family val="2"/>
        <scheme val="minor"/>
      </rPr>
      <t xml:space="preserve"> database table
Store the detected </t>
    </r>
    <r>
      <rPr>
        <b/>
        <sz val="11"/>
        <color theme="1"/>
        <rFont val="Calibri"/>
        <family val="2"/>
        <scheme val="minor"/>
      </rPr>
      <t>skin_concern_id</t>
    </r>
    <r>
      <rPr>
        <sz val="11"/>
        <color theme="1"/>
        <rFont val="Calibri"/>
        <family val="2"/>
        <scheme val="minor"/>
      </rPr>
      <t xml:space="preserve"> value in the concern-ID column of </t>
    </r>
    <r>
      <rPr>
        <b/>
        <sz val="11"/>
        <color theme="1"/>
        <rFont val="Calibri"/>
        <family val="2"/>
        <scheme val="minor"/>
      </rPr>
      <t>session_skin_concern_detection</t>
    </r>
    <r>
      <rPr>
        <sz val="11"/>
        <color theme="1"/>
        <rFont val="Calibri"/>
        <family val="2"/>
        <scheme val="minor"/>
      </rPr>
      <t xml:space="preserve">.
Store AI-generated explanations in the explanation column against the corresponding </t>
    </r>
    <r>
      <rPr>
        <b/>
        <sz val="11"/>
        <color theme="1"/>
        <rFont val="Calibri"/>
        <family val="2"/>
        <scheme val="minor"/>
      </rPr>
      <t>skin_concern_id</t>
    </r>
    <r>
      <rPr>
        <sz val="11"/>
        <color theme="1"/>
        <rFont val="Calibri"/>
        <family val="2"/>
        <scheme val="minor"/>
      </rPr>
      <t xml:space="preserve">.
Store raw Visual AI response JSON in the raw-detection-JSON column
Associate each detection record with the current </t>
    </r>
    <r>
      <rPr>
        <b/>
        <sz val="11"/>
        <color theme="1"/>
        <rFont val="Calibri"/>
        <family val="2"/>
        <scheme val="minor"/>
      </rPr>
      <t>customer_session</t>
    </r>
    <r>
      <rPr>
        <sz val="11"/>
        <color theme="1"/>
        <rFont val="Calibri"/>
        <family val="2"/>
        <scheme val="minor"/>
      </rPr>
      <t>.</t>
    </r>
  </si>
  <si>
    <r>
      <t xml:space="preserve">Create the image analysis reccomendation response JSON.
Populate </t>
    </r>
    <r>
      <rPr>
        <b/>
        <sz val="11"/>
        <color theme="1"/>
        <rFont val="Calibri"/>
        <family val="2"/>
        <scheme val="minor"/>
      </rPr>
      <t xml:space="preserve">user_full_name </t>
    </r>
    <r>
      <rPr>
        <sz val="11"/>
        <color theme="1"/>
        <rFont val="Calibri"/>
        <family val="2"/>
        <scheme val="minor"/>
      </rPr>
      <t xml:space="preserve"> from the logged-in customer's user record.
Populate </t>
    </r>
    <r>
      <rPr>
        <b/>
        <sz val="11"/>
        <color theme="1"/>
        <rFont val="Calibri"/>
        <family val="2"/>
        <scheme val="minor"/>
      </rPr>
      <t xml:space="preserve">Primary Concerns </t>
    </r>
    <r>
      <rPr>
        <sz val="11"/>
        <color theme="1"/>
        <rFont val="Calibri"/>
        <family val="2"/>
        <scheme val="minor"/>
      </rPr>
      <t xml:space="preserve">using only validated </t>
    </r>
    <r>
      <rPr>
        <b/>
        <sz val="11"/>
        <color theme="1"/>
        <rFont val="Calibri"/>
        <family val="2"/>
        <scheme val="minor"/>
      </rPr>
      <t>skin_concern_id</t>
    </r>
    <r>
      <rPr>
        <sz val="11"/>
        <color theme="1"/>
        <rFont val="Calibri"/>
        <family val="2"/>
        <scheme val="minor"/>
      </rPr>
      <t xml:space="preserve"> values stored from the Visual AI analysis.
Return "Your skin looks perfect!" when the validated image concern list is empty. 
Return the reccomendation response JSON to the Shopify widget frontend.
Display </t>
    </r>
    <r>
      <rPr>
        <b/>
        <sz val="11"/>
        <color theme="1"/>
        <rFont val="Calibri"/>
        <family val="2"/>
        <scheme val="minor"/>
      </rPr>
      <t>user_full_name</t>
    </r>
    <r>
      <rPr>
        <sz val="11"/>
        <color theme="1"/>
        <rFont val="Calibri"/>
        <family val="2"/>
        <scheme val="minor"/>
      </rPr>
      <t xml:space="preserve"> on the reccomendation page.
Display image-detected </t>
    </r>
    <r>
      <rPr>
        <b/>
        <sz val="11"/>
        <color theme="1"/>
        <rFont val="Calibri"/>
        <family val="2"/>
        <scheme val="minor"/>
      </rPr>
      <t xml:space="preserve">Primary Concerns </t>
    </r>
    <r>
      <rPr>
        <sz val="11"/>
        <color theme="1"/>
        <rFont val="Calibri"/>
        <family val="2"/>
        <scheme val="minor"/>
      </rPr>
      <t xml:space="preserve">on the reccomendation page. </t>
    </r>
  </si>
  <si>
    <t>Generate 10–20 GenAI test images covering different skin tones, ages, and visible skin concerns
	Test redness detection across different skin tones
	Test redness detection on a person with black skin
	Test visible skin concerns on a person below 50
	Test multiple visible skin concerns in a single image
	Test an image containing no visible skin concern
	Compare Visual AI returned skin_concern_id values against expected test results
	Verify unsupported concern IDs are not persisted in the session_skin_concern_detection database table</t>
  </si>
  <si>
    <t>Done</t>
  </si>
  <si>
    <t>WiP</t>
  </si>
  <si>
    <t>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</si>
</sst>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56">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xf numFmtId="0" fontId="0" fillId="8" borderId="0" xfId="0" applyFill="1" applyAlignment="1">
      <alignment vertical="top"/>
    </xf>
    <xf numFmtId="0" fontId="0" fillId="8" borderId="0" xfId="0" applyFill="1" applyAlignment="1">
      <alignment wrapText="1"/>
    </xf>
    <xf numFmtId="0" fontId="0" fillId="8" borderId="0" xfId="0" applyFill="1"/>
    <xf numFmtId="0" fontId="0" fillId="0" borderId="0" xfId="0" applyAlignment="1">
      <alignment vertical="top"/>
    </xf>
    <xf numFmtId="0" fontId="0" fillId="0" borderId="5" xfId="0" applyBorder="1" applyAlignment="1">
      <alignment vertical="top"/>
    </xf>
    <xf numFmtId="0" fontId="1" fillId="4" borderId="0" xfId="0" applyFont="1" applyFill="1" applyAlignment="1">
      <alignment horizontal="center"/>
    </xf>
    <xf numFmtId="0" fontId="1" fillId="3" borderId="0" xfId="0" applyFont="1" applyFill="1" applyAlignment="1">
      <alignment horizontal="center"/>
    </xf>
    <xf numFmtId="0" fontId="1" fillId="0" borderId="0" xfId="0" applyFont="1" applyAlignment="1">
      <alignment vertical="top" wrapText="1"/>
    </xf>
    <xf numFmtId="2" fontId="1" fillId="0" borderId="0" xfId="0" applyNumberFormat="1" applyFont="1" applyAlignment="1">
      <alignment vertical="top" wrapText="1"/>
    </xf>
    <xf numFmtId="0" fontId="1" fillId="0" borderId="0" xfId="0" applyFont="1" applyAlignment="1">
      <alignment vertical="center" wrapText="1"/>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0" fillId="0" borderId="0" xfId="0" applyAlignment="1">
      <alignment vertical="top" wrapText="1"/>
    </xf>
    <xf numFmtId="0" fontId="0" fillId="5" borderId="1" xfId="0"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44</c:v>
                </c:pt>
                <c:pt idx="1">
                  <c:v>44</c:v>
                </c:pt>
                <c:pt idx="2">
                  <c:v>44</c:v>
                </c:pt>
                <c:pt idx="3">
                  <c:v>44</c:v>
                </c:pt>
                <c:pt idx="4">
                  <c:v>44</c:v>
                </c:pt>
                <c:pt idx="5">
                  <c:v>44</c:v>
                </c:pt>
                <c:pt idx="6">
                  <c:v>44</c:v>
                </c:pt>
                <c:pt idx="7">
                  <c:v>44</c:v>
                </c:pt>
                <c:pt idx="8">
                  <c:v>44</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45</c:v>
                </c:pt>
                <c:pt idx="1">
                  <c:v>39.375</c:v>
                </c:pt>
                <c:pt idx="2">
                  <c:v>33.75</c:v>
                </c:pt>
                <c:pt idx="3">
                  <c:v>28.125</c:v>
                </c:pt>
                <c:pt idx="4">
                  <c:v>22.5</c:v>
                </c:pt>
                <c:pt idx="5">
                  <c:v>16.875</c:v>
                </c:pt>
                <c:pt idx="6">
                  <c:v>11.25</c:v>
                </c:pt>
                <c:pt idx="7">
                  <c:v>5.625</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1</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5" dT="2026-08-20T15:41:46.67" personId="{00000000-0000-0000-0000-000000000000}" id="{233094A3-3D2A-436A-904F-A8273DA397F5}">
    <text>Should all skin concerns be listed when we are only addressing top 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3B384-1725-40B5-B0F7-A3A77A0F68B1}">
  <dimension ref="A1:F10"/>
  <sheetViews>
    <sheetView zoomScale="99" zoomScaleNormal="115" workbookViewId="0">
      <pane ySplit="2" topLeftCell="A3" activePane="bottomLeft" state="frozen"/>
      <selection pane="bottomLeft" activeCell="F3" sqref="F3"/>
    </sheetView>
  </sheetViews>
  <sheetFormatPr defaultRowHeight="14.4"/>
  <cols>
    <col min="1" max="1" width="14.77734375" bestFit="1" customWidth="1"/>
    <col min="2" max="2" width="17.21875" bestFit="1" customWidth="1"/>
    <col min="3" max="3" width="20" customWidth="1"/>
    <col min="4" max="4" width="35.77734375" customWidth="1"/>
    <col min="5" max="5" width="51.109375" customWidth="1"/>
    <col min="6" max="6" width="19" bestFit="1" customWidth="1"/>
  </cols>
  <sheetData>
    <row r="1" spans="1:6">
      <c r="A1" s="10"/>
      <c r="B1" s="47" t="s">
        <v>6</v>
      </c>
      <c r="C1" s="47"/>
      <c r="D1" s="47"/>
      <c r="E1" s="10"/>
      <c r="F1" s="10"/>
    </row>
    <row r="2" spans="1:6">
      <c r="A2" s="8" t="s">
        <v>1</v>
      </c>
      <c r="B2" s="8" t="s">
        <v>26</v>
      </c>
      <c r="C2" s="8" t="s">
        <v>8</v>
      </c>
      <c r="D2" s="8" t="s">
        <v>9</v>
      </c>
      <c r="E2" s="8" t="s">
        <v>14</v>
      </c>
      <c r="F2" s="8" t="s">
        <v>16</v>
      </c>
    </row>
    <row r="3" spans="1:6" ht="100.8">
      <c r="A3" s="16">
        <v>1</v>
      </c>
      <c r="B3" s="11" t="s">
        <v>10</v>
      </c>
      <c r="C3" s="9" t="s">
        <v>11</v>
      </c>
      <c r="D3" s="9" t="s">
        <v>12</v>
      </c>
      <c r="E3" s="9" t="s">
        <v>50</v>
      </c>
    </row>
    <row r="4" spans="1:6" ht="279" customHeight="1">
      <c r="A4" s="15">
        <v>2</v>
      </c>
      <c r="B4" s="11" t="s">
        <v>10</v>
      </c>
      <c r="C4" s="9" t="s">
        <v>55</v>
      </c>
      <c r="D4" s="1" t="s">
        <v>230</v>
      </c>
      <c r="E4" s="9" t="s">
        <v>231</v>
      </c>
    </row>
    <row r="5" spans="1:6" s="2" customFormat="1" ht="294" customHeight="1">
      <c r="A5" s="1">
        <v>3</v>
      </c>
      <c r="B5" s="17" t="s">
        <v>10</v>
      </c>
      <c r="C5" s="9" t="s">
        <v>15</v>
      </c>
      <c r="D5" s="1" t="s">
        <v>52</v>
      </c>
      <c r="E5" s="9" t="s">
        <v>51</v>
      </c>
    </row>
    <row r="6" spans="1:6" ht="86.4">
      <c r="A6" s="15">
        <v>4</v>
      </c>
      <c r="B6" s="18" t="s">
        <v>10</v>
      </c>
      <c r="C6" s="9" t="s">
        <v>25</v>
      </c>
      <c r="D6" s="1" t="s">
        <v>27</v>
      </c>
      <c r="E6" s="9" t="s">
        <v>53</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7BB0-6771-4160-B371-AE490E8879B7}">
  <dimension ref="A1:J181"/>
  <sheetViews>
    <sheetView zoomScale="95" workbookViewId="0">
      <selection activeCell="D15" sqref="D15"/>
    </sheetView>
  </sheetViews>
  <sheetFormatPr defaultRowHeight="14.4"/>
  <cols>
    <col min="2" max="2" width="11.88671875" bestFit="1" customWidth="1"/>
    <col min="3" max="3" width="14.5546875" bestFit="1" customWidth="1"/>
    <col min="4" max="4" width="74.77734375" bestFit="1" customWidth="1"/>
    <col min="5" max="5" width="11.5546875" bestFit="1" customWidth="1"/>
    <col min="6" max="6" width="11.109375" bestFit="1" customWidth="1"/>
    <col min="7" max="7" width="8.6640625" bestFit="1" customWidth="1"/>
    <col min="9" max="9" width="19.21875" bestFit="1" customWidth="1"/>
  </cols>
  <sheetData>
    <row r="1" spans="1:10">
      <c r="A1" s="46" t="s">
        <v>49</v>
      </c>
      <c r="B1" s="46"/>
      <c r="C1" s="46"/>
      <c r="D1" s="46"/>
      <c r="E1" s="46"/>
      <c r="F1" s="46"/>
      <c r="G1" s="46"/>
      <c r="H1" s="46"/>
      <c r="I1" s="46"/>
      <c r="J1" s="46"/>
    </row>
    <row r="2" spans="1:10" s="4" customFormat="1">
      <c r="A2" s="10" t="s">
        <v>5</v>
      </c>
      <c r="B2" s="10" t="s">
        <v>28</v>
      </c>
      <c r="C2" s="10" t="s">
        <v>0</v>
      </c>
      <c r="D2" s="10" t="s">
        <v>13</v>
      </c>
      <c r="E2" s="10" t="s">
        <v>54</v>
      </c>
      <c r="F2" s="10" t="s">
        <v>7</v>
      </c>
      <c r="G2" s="10" t="s">
        <v>4</v>
      </c>
      <c r="H2" s="10" t="s">
        <v>29</v>
      </c>
      <c r="I2" s="10" t="s">
        <v>3</v>
      </c>
      <c r="J2" s="10" t="s">
        <v>2</v>
      </c>
    </row>
    <row r="3" spans="1:10">
      <c r="A3" s="53">
        <v>1</v>
      </c>
      <c r="B3" s="48">
        <v>1</v>
      </c>
      <c r="C3" s="48">
        <v>1.1000000000000001</v>
      </c>
      <c r="D3" s="7" t="s">
        <v>60</v>
      </c>
      <c r="E3" s="51" t="s">
        <v>19</v>
      </c>
      <c r="F3" s="51" cm="1">
        <f t="array" ref="F3">_xlfn.SWITCH(E3,"XS",1,"S",2,"M",3,"L",5,"XL",8,"XXL",13,"XXXL",21,"")</f>
        <v>3</v>
      </c>
    </row>
    <row r="4" spans="1:10">
      <c r="A4" s="53"/>
      <c r="B4" s="48"/>
      <c r="C4" s="48"/>
      <c r="D4" s="7" t="s">
        <v>61</v>
      </c>
      <c r="E4" s="51"/>
      <c r="F4" s="51"/>
    </row>
    <row r="5" spans="1:10">
      <c r="A5" s="53"/>
      <c r="B5" s="48"/>
      <c r="C5" s="48"/>
      <c r="D5" s="7" t="s">
        <v>30</v>
      </c>
      <c r="E5" s="51"/>
      <c r="F5" s="51"/>
    </row>
    <row r="6" spans="1:10">
      <c r="A6" s="53"/>
      <c r="B6" s="48"/>
      <c r="C6" s="48"/>
      <c r="D6" s="7" t="s">
        <v>31</v>
      </c>
      <c r="E6" s="51"/>
      <c r="F6" s="51"/>
    </row>
    <row r="7" spans="1:10">
      <c r="A7" s="53"/>
      <c r="B7" s="48"/>
      <c r="C7" s="48"/>
      <c r="D7" s="7" t="s">
        <v>62</v>
      </c>
      <c r="E7" s="51"/>
      <c r="F7" s="51"/>
    </row>
    <row r="8" spans="1:10">
      <c r="A8" s="53"/>
      <c r="B8" s="48"/>
      <c r="C8" s="48"/>
      <c r="D8" s="7" t="s">
        <v>63</v>
      </c>
      <c r="E8" s="51"/>
      <c r="F8" s="51"/>
    </row>
    <row r="9" spans="1:10">
      <c r="A9" s="53"/>
      <c r="B9" s="48"/>
      <c r="C9" s="48"/>
      <c r="D9" s="7" t="s">
        <v>64</v>
      </c>
      <c r="E9" s="51"/>
      <c r="F9" s="51"/>
    </row>
    <row r="10" spans="1:10">
      <c r="A10" s="53"/>
      <c r="B10" s="48"/>
      <c r="C10" s="48"/>
      <c r="D10" s="7" t="s">
        <v>65</v>
      </c>
      <c r="E10" s="51"/>
      <c r="F10" s="51"/>
    </row>
    <row r="11" spans="1:10">
      <c r="A11" s="53"/>
      <c r="B11" s="48"/>
      <c r="C11" s="48"/>
      <c r="D11" s="7" t="s">
        <v>66</v>
      </c>
      <c r="E11" s="51"/>
      <c r="F11" s="51"/>
    </row>
    <row r="12" spans="1:10">
      <c r="A12" s="53"/>
      <c r="B12" s="48"/>
      <c r="C12" s="48">
        <v>1.2</v>
      </c>
      <c r="D12" s="7" t="s">
        <v>67</v>
      </c>
      <c r="E12" s="51" t="s">
        <v>19</v>
      </c>
      <c r="F12" s="51" cm="1">
        <f t="array" ref="F12">_xlfn.SWITCH(E3,"XS",1,"S",2,"M",3,"L",5,"XL",8,"XXL",13,"XXXL",21,"")</f>
        <v>3</v>
      </c>
    </row>
    <row r="13" spans="1:10">
      <c r="A13" s="53"/>
      <c r="B13" s="48"/>
      <c r="C13" s="48"/>
      <c r="D13" s="7" t="s">
        <v>68</v>
      </c>
      <c r="E13" s="51"/>
      <c r="F13" s="51"/>
    </row>
    <row r="14" spans="1:10">
      <c r="A14" s="53"/>
      <c r="B14" s="48"/>
      <c r="C14" s="48"/>
      <c r="D14" s="7" t="s">
        <v>69</v>
      </c>
      <c r="E14" s="51"/>
      <c r="F14" s="51"/>
    </row>
    <row r="15" spans="1:10">
      <c r="A15" s="53"/>
      <c r="B15" s="48"/>
      <c r="C15" s="48">
        <v>1.3</v>
      </c>
      <c r="D15" s="7" t="s">
        <v>70</v>
      </c>
      <c r="E15" s="51" t="s">
        <v>17</v>
      </c>
      <c r="F15" s="51"/>
    </row>
    <row r="16" spans="1:10">
      <c r="A16" s="53"/>
      <c r="B16" s="48"/>
      <c r="C16" s="48"/>
      <c r="D16" s="7" t="s">
        <v>71</v>
      </c>
      <c r="E16" s="51"/>
      <c r="F16" s="51"/>
    </row>
    <row r="17" spans="1:7">
      <c r="A17" s="53"/>
      <c r="B17" s="48"/>
      <c r="C17" s="48"/>
      <c r="D17" s="7" t="s">
        <v>72</v>
      </c>
      <c r="E17" s="51"/>
      <c r="F17" s="51"/>
    </row>
    <row r="18" spans="1:7">
      <c r="A18" s="53"/>
      <c r="B18" s="48"/>
      <c r="C18" s="48">
        <v>1.4</v>
      </c>
      <c r="D18" s="7" t="s">
        <v>73</v>
      </c>
      <c r="E18" s="51" t="s">
        <v>20</v>
      </c>
      <c r="F18" s="51"/>
    </row>
    <row r="19" spans="1:7">
      <c r="A19" s="53"/>
      <c r="B19" s="48"/>
      <c r="C19" s="48"/>
      <c r="D19" s="7" t="s">
        <v>74</v>
      </c>
      <c r="E19" s="51"/>
      <c r="F19" s="51"/>
    </row>
    <row r="20" spans="1:7">
      <c r="A20" s="53"/>
      <c r="B20" s="48"/>
      <c r="C20" s="48"/>
      <c r="D20" s="7" t="s">
        <v>75</v>
      </c>
      <c r="E20" s="51"/>
      <c r="F20" s="51"/>
    </row>
    <row r="21" spans="1:7">
      <c r="A21" s="53"/>
      <c r="B21" s="48"/>
      <c r="C21" s="48"/>
      <c r="D21" s="7" t="s">
        <v>76</v>
      </c>
      <c r="E21" s="51"/>
      <c r="F21" s="51"/>
    </row>
    <row r="22" spans="1:7">
      <c r="A22" s="53"/>
      <c r="B22" s="48"/>
      <c r="C22" s="48"/>
      <c r="D22" s="7" t="s">
        <v>77</v>
      </c>
      <c r="E22" s="51"/>
      <c r="F22" s="51"/>
    </row>
    <row r="23" spans="1:7">
      <c r="A23" s="53"/>
      <c r="B23" s="48"/>
      <c r="C23" s="48"/>
      <c r="D23" s="7" t="s">
        <v>78</v>
      </c>
      <c r="E23" s="51"/>
      <c r="F23" s="51"/>
    </row>
    <row r="24" spans="1:7">
      <c r="A24" s="53"/>
      <c r="B24" s="48"/>
      <c r="C24" s="48"/>
      <c r="D24" s="7" t="s">
        <v>79</v>
      </c>
      <c r="E24" s="51"/>
      <c r="F24" s="51"/>
    </row>
    <row r="25" spans="1:7">
      <c r="A25" s="53"/>
      <c r="B25" s="48"/>
      <c r="C25" s="48"/>
      <c r="D25" s="7" t="s">
        <v>56</v>
      </c>
      <c r="E25" s="51"/>
      <c r="F25" s="51"/>
    </row>
    <row r="26" spans="1:7">
      <c r="A26" s="53"/>
      <c r="B26" s="54">
        <v>2</v>
      </c>
      <c r="C26" s="48">
        <v>2.1</v>
      </c>
      <c r="D26" s="7" t="s">
        <v>215</v>
      </c>
      <c r="E26" s="52" t="s">
        <v>17</v>
      </c>
      <c r="F26" s="51"/>
    </row>
    <row r="27" spans="1:7">
      <c r="A27" s="53"/>
      <c r="B27" s="54"/>
      <c r="C27" s="48"/>
      <c r="D27" s="7" t="s">
        <v>213</v>
      </c>
      <c r="E27" s="52"/>
      <c r="F27" s="51"/>
    </row>
    <row r="28" spans="1:7">
      <c r="A28" s="53"/>
      <c r="B28" s="54"/>
      <c r="C28" s="48"/>
      <c r="D28" s="7" t="s">
        <v>202</v>
      </c>
      <c r="E28" s="52"/>
      <c r="F28" s="51"/>
    </row>
    <row r="29" spans="1:7">
      <c r="A29" s="53"/>
      <c r="B29" s="54"/>
      <c r="C29" s="50">
        <v>2.2000000000000002</v>
      </c>
      <c r="D29" s="7" t="s">
        <v>80</v>
      </c>
      <c r="E29" s="51" t="s">
        <v>17</v>
      </c>
      <c r="F29" s="51"/>
    </row>
    <row r="30" spans="1:7">
      <c r="A30" s="53"/>
      <c r="B30" s="54"/>
      <c r="C30" s="50"/>
      <c r="D30" s="7" t="s">
        <v>81</v>
      </c>
      <c r="E30" s="51"/>
      <c r="F30" s="51"/>
    </row>
    <row r="31" spans="1:7">
      <c r="A31" s="53"/>
      <c r="B31" s="54"/>
      <c r="C31" s="48">
        <v>2.2999999999999998</v>
      </c>
      <c r="D31" s="7" t="s">
        <v>82</v>
      </c>
      <c r="E31" s="51" t="s">
        <v>21</v>
      </c>
      <c r="F31" s="51"/>
      <c r="G31" s="51" t="s">
        <v>214</v>
      </c>
    </row>
    <row r="32" spans="1:7">
      <c r="A32" s="53"/>
      <c r="B32" s="54"/>
      <c r="C32" s="48"/>
      <c r="D32" s="7" t="s">
        <v>83</v>
      </c>
      <c r="E32" s="51"/>
      <c r="F32" s="51"/>
      <c r="G32" s="51"/>
    </row>
    <row r="33" spans="1:7">
      <c r="A33" s="53"/>
      <c r="B33" s="54"/>
      <c r="C33" s="48"/>
      <c r="D33" s="7" t="s">
        <v>84</v>
      </c>
      <c r="E33" s="51"/>
      <c r="F33" s="51"/>
      <c r="G33" s="51"/>
    </row>
    <row r="34" spans="1:7">
      <c r="A34" s="53"/>
      <c r="B34" s="54"/>
      <c r="C34" s="48"/>
      <c r="D34" s="7" t="s">
        <v>85</v>
      </c>
      <c r="E34" s="51"/>
      <c r="F34" s="51"/>
      <c r="G34" s="51"/>
    </row>
    <row r="35" spans="1:7">
      <c r="A35" s="53"/>
      <c r="B35" s="54"/>
      <c r="C35" s="48"/>
      <c r="D35" s="7" t="s">
        <v>86</v>
      </c>
      <c r="E35" s="51"/>
      <c r="F35" s="51"/>
      <c r="G35" s="51"/>
    </row>
    <row r="36" spans="1:7">
      <c r="A36" s="53"/>
      <c r="B36" s="54"/>
      <c r="C36" s="48"/>
      <c r="D36" s="7" t="s">
        <v>87</v>
      </c>
      <c r="E36" s="51"/>
      <c r="F36" s="51"/>
      <c r="G36" s="51"/>
    </row>
    <row r="37" spans="1:7">
      <c r="A37" s="53"/>
      <c r="B37" s="54"/>
      <c r="C37" s="48"/>
      <c r="D37" s="7" t="s">
        <v>88</v>
      </c>
      <c r="E37" s="51"/>
      <c r="F37" s="51"/>
      <c r="G37" s="51"/>
    </row>
    <row r="38" spans="1:7">
      <c r="A38" s="53"/>
      <c r="B38" s="54"/>
      <c r="C38" s="48">
        <v>2.4</v>
      </c>
      <c r="D38" s="7" t="s">
        <v>89</v>
      </c>
      <c r="E38" s="51" t="s">
        <v>20</v>
      </c>
      <c r="F38" s="51"/>
    </row>
    <row r="39" spans="1:7">
      <c r="A39" s="53"/>
      <c r="B39" s="54"/>
      <c r="C39" s="48"/>
      <c r="D39" s="7" t="s">
        <v>90</v>
      </c>
      <c r="E39" s="51"/>
      <c r="F39" s="51"/>
    </row>
    <row r="40" spans="1:7">
      <c r="A40" s="53"/>
      <c r="B40" s="54"/>
      <c r="C40" s="48"/>
      <c r="D40" s="7" t="s">
        <v>91</v>
      </c>
      <c r="E40" s="51"/>
      <c r="F40" s="51"/>
    </row>
    <row r="41" spans="1:7">
      <c r="A41" s="53"/>
      <c r="B41" s="54"/>
      <c r="C41" s="48"/>
      <c r="D41" s="7" t="s">
        <v>33</v>
      </c>
      <c r="E41" s="51"/>
      <c r="F41" s="51"/>
    </row>
    <row r="42" spans="1:7">
      <c r="A42" s="53"/>
      <c r="B42" s="54"/>
      <c r="C42" s="48"/>
      <c r="D42" s="7" t="s">
        <v>92</v>
      </c>
      <c r="E42" s="51"/>
      <c r="F42" s="51"/>
    </row>
    <row r="43" spans="1:7">
      <c r="A43" s="53"/>
      <c r="B43" s="54"/>
      <c r="C43" s="48"/>
      <c r="D43" s="7" t="s">
        <v>93</v>
      </c>
      <c r="E43" s="51"/>
      <c r="F43" s="51"/>
    </row>
    <row r="44" spans="1:7">
      <c r="A44" s="53"/>
      <c r="B44" s="54"/>
      <c r="C44" s="48"/>
      <c r="D44" s="7" t="s">
        <v>94</v>
      </c>
      <c r="E44" s="51"/>
      <c r="F44" s="51"/>
    </row>
    <row r="45" spans="1:7">
      <c r="A45" s="53"/>
      <c r="B45" s="54"/>
      <c r="C45" s="48"/>
      <c r="D45" s="7" t="s">
        <v>95</v>
      </c>
      <c r="E45" s="51"/>
      <c r="F45" s="51"/>
    </row>
    <row r="46" spans="1:7">
      <c r="A46" s="53"/>
      <c r="B46" s="54"/>
      <c r="C46" s="48">
        <v>2.5</v>
      </c>
      <c r="D46" s="7" t="s">
        <v>203</v>
      </c>
      <c r="E46" s="52" t="s">
        <v>18</v>
      </c>
      <c r="F46" s="51"/>
    </row>
    <row r="47" spans="1:7">
      <c r="A47" s="53"/>
      <c r="B47" s="54"/>
      <c r="C47" s="48"/>
      <c r="D47" s="7" t="s">
        <v>96</v>
      </c>
      <c r="E47" s="52"/>
      <c r="F47" s="51"/>
    </row>
    <row r="48" spans="1:7">
      <c r="A48" s="53"/>
      <c r="B48" s="54"/>
      <c r="C48" s="48"/>
      <c r="D48" s="7" t="s">
        <v>97</v>
      </c>
      <c r="E48" s="52"/>
      <c r="F48" s="51"/>
    </row>
    <row r="49" spans="1:6">
      <c r="A49" s="53"/>
      <c r="B49" s="54"/>
      <c r="C49" s="48"/>
      <c r="D49" s="7" t="s">
        <v>98</v>
      </c>
      <c r="E49" s="52"/>
      <c r="F49" s="51"/>
    </row>
    <row r="50" spans="1:6">
      <c r="A50" s="53"/>
      <c r="B50" s="54"/>
      <c r="C50" s="48">
        <v>2.7</v>
      </c>
      <c r="D50" s="7" t="s">
        <v>99</v>
      </c>
      <c r="E50" s="51" t="s">
        <v>20</v>
      </c>
      <c r="F50" s="51"/>
    </row>
    <row r="51" spans="1:6">
      <c r="A51" s="53"/>
      <c r="B51" s="54"/>
      <c r="C51" s="48"/>
      <c r="D51" s="7" t="s">
        <v>100</v>
      </c>
      <c r="E51" s="51"/>
      <c r="F51" s="51"/>
    </row>
    <row r="52" spans="1:6">
      <c r="A52" s="53"/>
      <c r="B52" s="54"/>
      <c r="C52" s="48"/>
      <c r="D52" s="7" t="s">
        <v>101</v>
      </c>
      <c r="E52" s="51"/>
      <c r="F52" s="51"/>
    </row>
    <row r="53" spans="1:6">
      <c r="A53" s="53"/>
      <c r="B53" s="54"/>
      <c r="C53" s="48"/>
      <c r="D53" s="7" t="s">
        <v>102</v>
      </c>
      <c r="E53" s="51"/>
      <c r="F53" s="51"/>
    </row>
    <row r="54" spans="1:6">
      <c r="A54" s="53"/>
      <c r="B54" s="54"/>
      <c r="C54" s="48"/>
      <c r="D54" s="7" t="s">
        <v>103</v>
      </c>
      <c r="E54" s="51"/>
      <c r="F54" s="51"/>
    </row>
    <row r="55" spans="1:6">
      <c r="A55" s="53"/>
      <c r="B55" s="54"/>
      <c r="C55" s="48"/>
      <c r="D55" s="7" t="s">
        <v>104</v>
      </c>
      <c r="E55" s="51"/>
      <c r="F55" s="51"/>
    </row>
    <row r="56" spans="1:6">
      <c r="A56" s="53"/>
      <c r="B56" s="54"/>
      <c r="C56" s="48"/>
      <c r="D56" s="7" t="s">
        <v>105</v>
      </c>
      <c r="E56" s="51"/>
      <c r="F56" s="51"/>
    </row>
    <row r="57" spans="1:6">
      <c r="A57" s="53"/>
      <c r="B57" s="54"/>
      <c r="C57" s="48"/>
      <c r="D57" s="7" t="s">
        <v>106</v>
      </c>
      <c r="E57" s="51"/>
      <c r="F57" s="51"/>
    </row>
    <row r="58" spans="1:6">
      <c r="A58" s="53"/>
      <c r="B58" s="54"/>
      <c r="C58" s="48"/>
      <c r="D58" s="7" t="s">
        <v>57</v>
      </c>
      <c r="E58" s="51"/>
      <c r="F58" s="51"/>
    </row>
    <row r="59" spans="1:6">
      <c r="A59" s="20"/>
      <c r="B59" s="48">
        <v>3</v>
      </c>
      <c r="C59" s="48">
        <v>3.1</v>
      </c>
      <c r="D59" s="7" t="s">
        <v>107</v>
      </c>
    </row>
    <row r="60" spans="1:6">
      <c r="A60" s="19"/>
      <c r="B60" s="48"/>
      <c r="C60" s="48"/>
      <c r="D60" s="7" t="s">
        <v>108</v>
      </c>
    </row>
    <row r="61" spans="1:6">
      <c r="A61" s="19"/>
      <c r="B61" s="48"/>
      <c r="C61" s="48"/>
      <c r="D61" s="7" t="s">
        <v>109</v>
      </c>
    </row>
    <row r="62" spans="1:6">
      <c r="A62" s="19"/>
      <c r="B62" s="48"/>
      <c r="C62" s="48"/>
      <c r="D62" s="7" t="s">
        <v>204</v>
      </c>
    </row>
    <row r="63" spans="1:6">
      <c r="A63" s="19"/>
      <c r="B63" s="48"/>
      <c r="C63" s="48"/>
      <c r="D63" s="7" t="s">
        <v>205</v>
      </c>
    </row>
    <row r="64" spans="1:6">
      <c r="A64" s="19"/>
      <c r="B64" s="48"/>
      <c r="C64" s="48"/>
      <c r="D64" s="7" t="s">
        <v>110</v>
      </c>
    </row>
    <row r="65" spans="1:4">
      <c r="A65" s="19"/>
      <c r="B65" s="48"/>
      <c r="C65" s="48">
        <v>3.2</v>
      </c>
      <c r="D65" s="7" t="s">
        <v>111</v>
      </c>
    </row>
    <row r="66" spans="1:4">
      <c r="A66" s="19"/>
      <c r="B66" s="48"/>
      <c r="C66" s="48"/>
      <c r="D66" s="7" t="s">
        <v>112</v>
      </c>
    </row>
    <row r="67" spans="1:4">
      <c r="A67" s="19"/>
      <c r="B67" s="48"/>
      <c r="C67" s="48"/>
      <c r="D67" s="7" t="s">
        <v>34</v>
      </c>
    </row>
    <row r="68" spans="1:4">
      <c r="A68" s="19"/>
      <c r="B68" s="48"/>
      <c r="C68" s="48"/>
      <c r="D68" s="7" t="s">
        <v>113</v>
      </c>
    </row>
    <row r="69" spans="1:4">
      <c r="A69" s="19"/>
      <c r="B69" s="48"/>
      <c r="C69" s="48"/>
      <c r="D69" s="7" t="s">
        <v>114</v>
      </c>
    </row>
    <row r="70" spans="1:4">
      <c r="A70" s="19"/>
      <c r="B70" s="48"/>
      <c r="C70" s="48"/>
      <c r="D70" s="7" t="s">
        <v>115</v>
      </c>
    </row>
    <row r="71" spans="1:4">
      <c r="A71" s="19"/>
      <c r="B71" s="48"/>
      <c r="C71" s="48"/>
      <c r="D71" s="7" t="s">
        <v>116</v>
      </c>
    </row>
    <row r="72" spans="1:4">
      <c r="A72" s="19"/>
      <c r="B72" s="48"/>
      <c r="C72" s="48"/>
      <c r="D72" s="7" t="s">
        <v>32</v>
      </c>
    </row>
    <row r="73" spans="1:4">
      <c r="A73" s="19"/>
      <c r="B73" s="48"/>
      <c r="C73" s="48"/>
      <c r="D73" s="7" t="s">
        <v>117</v>
      </c>
    </row>
    <row r="74" spans="1:4">
      <c r="A74" s="19"/>
      <c r="B74" s="48"/>
      <c r="C74" s="48"/>
      <c r="D74" s="7" t="s">
        <v>206</v>
      </c>
    </row>
    <row r="75" spans="1:4">
      <c r="A75" s="19"/>
      <c r="B75" s="48"/>
      <c r="C75" s="48"/>
      <c r="D75" s="7" t="s">
        <v>118</v>
      </c>
    </row>
    <row r="76" spans="1:4">
      <c r="A76" s="19"/>
      <c r="B76" s="48"/>
      <c r="C76" s="48"/>
      <c r="D76" s="7" t="s">
        <v>98</v>
      </c>
    </row>
    <row r="77" spans="1:4">
      <c r="A77" s="19"/>
      <c r="B77" s="48"/>
      <c r="C77" s="48">
        <v>3.3</v>
      </c>
      <c r="D77" s="7" t="s">
        <v>119</v>
      </c>
    </row>
    <row r="78" spans="1:4">
      <c r="A78" s="19"/>
      <c r="B78" s="48"/>
      <c r="C78" s="48"/>
      <c r="D78" s="7" t="s">
        <v>120</v>
      </c>
    </row>
    <row r="79" spans="1:4">
      <c r="A79" s="19"/>
      <c r="B79" s="48"/>
      <c r="C79" s="48"/>
      <c r="D79" s="7" t="s">
        <v>121</v>
      </c>
    </row>
    <row r="80" spans="1:4">
      <c r="A80" s="19"/>
      <c r="B80" s="48"/>
      <c r="C80" s="48"/>
      <c r="D80" s="7" t="s">
        <v>122</v>
      </c>
    </row>
    <row r="81" spans="1:4">
      <c r="A81" s="19"/>
      <c r="B81" s="48"/>
      <c r="C81" s="48"/>
      <c r="D81" s="7" t="s">
        <v>123</v>
      </c>
    </row>
    <row r="82" spans="1:4">
      <c r="A82" s="19"/>
      <c r="B82" s="48"/>
      <c r="C82" s="48"/>
      <c r="D82" s="7" t="s">
        <v>207</v>
      </c>
    </row>
    <row r="83" spans="1:4">
      <c r="A83" s="19"/>
      <c r="B83" s="48"/>
      <c r="C83" s="48"/>
      <c r="D83" s="7" t="s">
        <v>124</v>
      </c>
    </row>
    <row r="84" spans="1:4">
      <c r="A84" s="19"/>
      <c r="B84" s="48"/>
      <c r="C84" s="48"/>
      <c r="D84" s="7" t="s">
        <v>125</v>
      </c>
    </row>
    <row r="85" spans="1:4">
      <c r="A85" s="19"/>
      <c r="B85" s="48"/>
      <c r="C85" s="48"/>
      <c r="D85" s="7" t="s">
        <v>126</v>
      </c>
    </row>
    <row r="86" spans="1:4">
      <c r="A86" s="19"/>
      <c r="B86" s="48"/>
      <c r="C86" s="48"/>
      <c r="D86" s="7" t="s">
        <v>127</v>
      </c>
    </row>
    <row r="87" spans="1:4">
      <c r="A87" s="19"/>
      <c r="B87" s="48"/>
      <c r="C87" s="48"/>
      <c r="D87" s="7" t="s">
        <v>128</v>
      </c>
    </row>
    <row r="88" spans="1:4">
      <c r="A88" s="19"/>
      <c r="B88" s="48"/>
      <c r="C88" s="48">
        <v>3.4</v>
      </c>
      <c r="D88" s="15" t="s">
        <v>129</v>
      </c>
    </row>
    <row r="89" spans="1:4">
      <c r="A89" s="19"/>
      <c r="B89" s="48"/>
      <c r="C89" s="48"/>
      <c r="D89" s="7" t="s">
        <v>208</v>
      </c>
    </row>
    <row r="90" spans="1:4">
      <c r="A90" s="19"/>
      <c r="B90" s="48"/>
      <c r="C90" s="48"/>
      <c r="D90" s="7" t="s">
        <v>130</v>
      </c>
    </row>
    <row r="91" spans="1:4">
      <c r="A91" s="19"/>
      <c r="B91" s="48"/>
      <c r="C91" s="48"/>
      <c r="D91" s="7" t="s">
        <v>131</v>
      </c>
    </row>
    <row r="92" spans="1:4">
      <c r="A92" s="19"/>
      <c r="B92" s="48"/>
      <c r="C92" s="48"/>
      <c r="D92" s="7" t="s">
        <v>132</v>
      </c>
    </row>
    <row r="93" spans="1:4">
      <c r="A93" s="19"/>
      <c r="B93" s="48"/>
      <c r="C93" s="48"/>
      <c r="D93" s="7" t="s">
        <v>133</v>
      </c>
    </row>
    <row r="94" spans="1:4">
      <c r="A94" s="19"/>
      <c r="B94" s="48"/>
      <c r="C94" s="48"/>
      <c r="D94" s="7" t="s">
        <v>134</v>
      </c>
    </row>
    <row r="95" spans="1:4">
      <c r="A95" s="19"/>
      <c r="B95" s="48"/>
      <c r="C95" s="48"/>
      <c r="D95" s="7" t="s">
        <v>135</v>
      </c>
    </row>
    <row r="96" spans="1:4">
      <c r="A96" s="19"/>
      <c r="B96" s="48"/>
      <c r="C96" s="48"/>
      <c r="D96" s="7" t="s">
        <v>136</v>
      </c>
    </row>
    <row r="97" spans="1:4">
      <c r="A97" s="19"/>
      <c r="B97" s="48"/>
      <c r="C97" s="48"/>
      <c r="D97" s="7" t="s">
        <v>137</v>
      </c>
    </row>
    <row r="98" spans="1:4">
      <c r="A98" s="19"/>
      <c r="B98" s="48"/>
      <c r="C98" s="48"/>
      <c r="D98" s="7" t="s">
        <v>138</v>
      </c>
    </row>
    <row r="99" spans="1:4">
      <c r="A99" s="19"/>
      <c r="B99" s="48"/>
      <c r="C99" s="48"/>
      <c r="D99" s="7" t="s">
        <v>139</v>
      </c>
    </row>
    <row r="100" spans="1:4">
      <c r="A100" s="19"/>
      <c r="B100" s="48"/>
      <c r="C100" s="48"/>
      <c r="D100" s="7" t="s">
        <v>140</v>
      </c>
    </row>
    <row r="101" spans="1:4">
      <c r="A101" s="19"/>
      <c r="B101" s="48"/>
      <c r="C101" s="48">
        <v>3.5</v>
      </c>
      <c r="D101" s="11" t="s">
        <v>141</v>
      </c>
    </row>
    <row r="102" spans="1:4">
      <c r="A102" s="19"/>
      <c r="B102" s="48"/>
      <c r="C102" s="48"/>
      <c r="D102" s="7" t="s">
        <v>142</v>
      </c>
    </row>
    <row r="103" spans="1:4">
      <c r="A103" s="19"/>
      <c r="B103" s="48"/>
      <c r="C103" s="48"/>
      <c r="D103" s="7" t="s">
        <v>143</v>
      </c>
    </row>
    <row r="104" spans="1:4">
      <c r="A104" s="19"/>
      <c r="B104" s="48"/>
      <c r="C104" s="48"/>
      <c r="D104" s="7" t="s">
        <v>144</v>
      </c>
    </row>
    <row r="105" spans="1:4">
      <c r="A105" s="19"/>
      <c r="B105" s="48"/>
      <c r="C105" s="48"/>
      <c r="D105" s="7" t="s">
        <v>145</v>
      </c>
    </row>
    <row r="106" spans="1:4">
      <c r="A106" s="19"/>
      <c r="B106" s="48"/>
      <c r="C106" s="48"/>
      <c r="D106" s="7" t="s">
        <v>146</v>
      </c>
    </row>
    <row r="107" spans="1:4">
      <c r="A107" s="19"/>
      <c r="B107" s="48"/>
      <c r="C107" s="48"/>
      <c r="D107" s="7" t="s">
        <v>147</v>
      </c>
    </row>
    <row r="108" spans="1:4">
      <c r="A108" s="19"/>
      <c r="B108" s="48"/>
      <c r="C108" s="48"/>
      <c r="D108" s="7" t="s">
        <v>148</v>
      </c>
    </row>
    <row r="109" spans="1:4">
      <c r="A109" s="19"/>
      <c r="B109" s="48"/>
      <c r="C109" s="48"/>
      <c r="D109" s="7" t="s">
        <v>149</v>
      </c>
    </row>
    <row r="110" spans="1:4">
      <c r="A110" s="19"/>
      <c r="B110" s="48"/>
      <c r="C110" s="48">
        <v>3.6</v>
      </c>
      <c r="D110" s="7" t="s">
        <v>209</v>
      </c>
    </row>
    <row r="111" spans="1:4">
      <c r="A111" s="19"/>
      <c r="B111" s="48"/>
      <c r="C111" s="48"/>
      <c r="D111" s="7" t="s">
        <v>210</v>
      </c>
    </row>
    <row r="112" spans="1:4">
      <c r="A112" s="19"/>
      <c r="B112" s="48"/>
      <c r="C112" s="48"/>
      <c r="D112" s="7" t="s">
        <v>211</v>
      </c>
    </row>
    <row r="113" spans="1:4">
      <c r="A113" s="19"/>
      <c r="B113" s="48"/>
      <c r="C113" s="48"/>
      <c r="D113" s="7" t="s">
        <v>150</v>
      </c>
    </row>
    <row r="114" spans="1:4">
      <c r="A114" s="19"/>
      <c r="B114" s="48"/>
      <c r="C114" s="48"/>
      <c r="D114" s="7" t="s">
        <v>151</v>
      </c>
    </row>
    <row r="115" spans="1:4">
      <c r="A115" s="19"/>
      <c r="B115" s="48"/>
      <c r="C115" s="48"/>
      <c r="D115" s="7" t="s">
        <v>212</v>
      </c>
    </row>
    <row r="116" spans="1:4">
      <c r="A116" s="19"/>
      <c r="B116" s="48"/>
      <c r="C116" s="48">
        <v>3.7</v>
      </c>
      <c r="D116" s="7" t="s">
        <v>152</v>
      </c>
    </row>
    <row r="117" spans="1:4">
      <c r="A117" s="19"/>
      <c r="B117" s="48"/>
      <c r="C117" s="48"/>
      <c r="D117" s="7" t="s">
        <v>153</v>
      </c>
    </row>
    <row r="118" spans="1:4">
      <c r="A118" s="19"/>
      <c r="B118" s="48"/>
      <c r="C118" s="48"/>
      <c r="D118" s="7" t="s">
        <v>154</v>
      </c>
    </row>
    <row r="119" spans="1:4">
      <c r="A119" s="19"/>
      <c r="B119" s="48"/>
      <c r="C119" s="48"/>
      <c r="D119" s="7" t="s">
        <v>155</v>
      </c>
    </row>
    <row r="120" spans="1:4">
      <c r="A120" s="19"/>
      <c r="B120" s="48"/>
      <c r="C120" s="48"/>
      <c r="D120" s="7" t="s">
        <v>156</v>
      </c>
    </row>
    <row r="121" spans="1:4">
      <c r="A121" s="19"/>
      <c r="B121" s="48"/>
      <c r="C121" s="48"/>
      <c r="D121" s="7" t="s">
        <v>157</v>
      </c>
    </row>
    <row r="122" spans="1:4">
      <c r="A122" s="19"/>
      <c r="B122" s="48"/>
      <c r="C122" s="48"/>
      <c r="D122" s="7" t="s">
        <v>158</v>
      </c>
    </row>
    <row r="123" spans="1:4">
      <c r="A123" s="19"/>
      <c r="B123" s="48"/>
      <c r="C123" s="48"/>
      <c r="D123" s="7" t="s">
        <v>159</v>
      </c>
    </row>
    <row r="124" spans="1:4">
      <c r="A124" s="19"/>
      <c r="B124" s="48"/>
      <c r="C124" s="48"/>
      <c r="D124" s="7" t="s">
        <v>160</v>
      </c>
    </row>
    <row r="125" spans="1:4">
      <c r="A125" s="19"/>
      <c r="B125" s="48"/>
      <c r="C125" s="48"/>
      <c r="D125" s="7" t="s">
        <v>161</v>
      </c>
    </row>
    <row r="126" spans="1:4">
      <c r="A126" s="19"/>
      <c r="B126" s="48"/>
      <c r="C126" s="48"/>
      <c r="D126" s="7" t="s">
        <v>162</v>
      </c>
    </row>
    <row r="127" spans="1:4">
      <c r="A127" s="19"/>
      <c r="B127" s="48"/>
      <c r="C127" s="48">
        <v>3.8</v>
      </c>
      <c r="D127" s="7" t="s">
        <v>36</v>
      </c>
    </row>
    <row r="128" spans="1:4">
      <c r="A128" s="19"/>
      <c r="B128" s="48"/>
      <c r="C128" s="48"/>
      <c r="D128" s="7" t="s">
        <v>37</v>
      </c>
    </row>
    <row r="129" spans="1:4">
      <c r="A129" s="19"/>
      <c r="B129" s="48"/>
      <c r="C129" s="48"/>
      <c r="D129" s="7" t="s">
        <v>163</v>
      </c>
    </row>
    <row r="130" spans="1:4">
      <c r="A130" s="19"/>
      <c r="B130" s="48"/>
      <c r="C130" s="48"/>
      <c r="D130" s="7" t="s">
        <v>38</v>
      </c>
    </row>
    <row r="131" spans="1:4">
      <c r="A131" s="19"/>
      <c r="B131" s="48"/>
      <c r="C131" s="48"/>
      <c r="D131" s="7" t="s">
        <v>39</v>
      </c>
    </row>
    <row r="132" spans="1:4">
      <c r="A132" s="19"/>
      <c r="B132" s="48"/>
      <c r="C132" s="48"/>
      <c r="D132" s="7" t="s">
        <v>40</v>
      </c>
    </row>
    <row r="133" spans="1:4">
      <c r="A133" s="19"/>
      <c r="B133" s="48"/>
      <c r="C133" s="48"/>
      <c r="D133" s="7" t="s">
        <v>41</v>
      </c>
    </row>
    <row r="134" spans="1:4">
      <c r="A134" s="19"/>
      <c r="B134" s="48"/>
      <c r="C134" s="48"/>
      <c r="D134" s="7" t="s">
        <v>42</v>
      </c>
    </row>
    <row r="135" spans="1:4">
      <c r="A135" s="19"/>
      <c r="B135" s="48"/>
      <c r="C135" s="48"/>
      <c r="D135" s="7" t="s">
        <v>43</v>
      </c>
    </row>
    <row r="136" spans="1:4">
      <c r="A136" s="19"/>
      <c r="B136" s="48"/>
      <c r="C136" s="48"/>
      <c r="D136" s="7" t="s">
        <v>164</v>
      </c>
    </row>
    <row r="137" spans="1:4">
      <c r="A137" s="19"/>
      <c r="B137" s="48"/>
      <c r="C137" s="48">
        <v>3.9</v>
      </c>
      <c r="D137" s="7" t="s">
        <v>165</v>
      </c>
    </row>
    <row r="138" spans="1:4">
      <c r="A138" s="19"/>
      <c r="B138" s="48"/>
      <c r="C138" s="48"/>
      <c r="D138" s="7" t="s">
        <v>35</v>
      </c>
    </row>
    <row r="139" spans="1:4">
      <c r="A139" s="19"/>
      <c r="B139" s="48"/>
      <c r="C139" s="48"/>
      <c r="D139" s="7" t="s">
        <v>166</v>
      </c>
    </row>
    <row r="140" spans="1:4">
      <c r="A140" s="19"/>
      <c r="B140" s="48"/>
      <c r="C140" s="48"/>
      <c r="D140" s="7" t="s">
        <v>167</v>
      </c>
    </row>
    <row r="141" spans="1:4">
      <c r="A141" s="19"/>
      <c r="B141" s="48"/>
      <c r="C141" s="48"/>
      <c r="D141" s="7" t="s">
        <v>168</v>
      </c>
    </row>
    <row r="142" spans="1:4">
      <c r="A142" s="19"/>
      <c r="B142" s="48"/>
      <c r="C142" s="49">
        <v>3.1</v>
      </c>
      <c r="D142" s="7" t="s">
        <v>169</v>
      </c>
    </row>
    <row r="143" spans="1:4">
      <c r="A143" s="19"/>
      <c r="B143" s="48"/>
      <c r="C143" s="49"/>
      <c r="D143" s="7" t="s">
        <v>170</v>
      </c>
    </row>
    <row r="144" spans="1:4">
      <c r="A144" s="19"/>
      <c r="B144" s="48"/>
      <c r="C144" s="49"/>
      <c r="D144" s="7" t="s">
        <v>171</v>
      </c>
    </row>
    <row r="145" spans="1:4">
      <c r="A145" s="19"/>
      <c r="B145" s="48"/>
      <c r="C145" s="49"/>
      <c r="D145" s="7" t="s">
        <v>172</v>
      </c>
    </row>
    <row r="146" spans="1:4">
      <c r="A146" s="19"/>
      <c r="B146" s="48"/>
      <c r="C146" s="49"/>
      <c r="D146" s="7" t="s">
        <v>173</v>
      </c>
    </row>
    <row r="147" spans="1:4">
      <c r="A147" s="19"/>
      <c r="B147" s="48"/>
      <c r="C147" s="49"/>
      <c r="D147" s="7" t="s">
        <v>174</v>
      </c>
    </row>
    <row r="148" spans="1:4">
      <c r="A148" s="19"/>
      <c r="B148" s="48"/>
      <c r="C148" s="49"/>
      <c r="D148" s="7" t="s">
        <v>175</v>
      </c>
    </row>
    <row r="149" spans="1:4">
      <c r="A149" s="19"/>
      <c r="B149" s="48"/>
      <c r="C149" s="49"/>
      <c r="D149" s="7" t="s">
        <v>176</v>
      </c>
    </row>
    <row r="150" spans="1:4">
      <c r="A150" s="19"/>
      <c r="B150" s="48"/>
      <c r="C150" s="49"/>
      <c r="D150" s="7" t="s">
        <v>177</v>
      </c>
    </row>
    <row r="151" spans="1:4">
      <c r="A151" s="19"/>
      <c r="B151" s="48"/>
      <c r="C151" s="49"/>
      <c r="D151" s="7" t="s">
        <v>178</v>
      </c>
    </row>
    <row r="152" spans="1:4">
      <c r="A152" s="19"/>
      <c r="B152" s="48"/>
      <c r="C152" s="49"/>
      <c r="D152" s="7" t="s">
        <v>179</v>
      </c>
    </row>
    <row r="153" spans="1:4">
      <c r="A153" s="19"/>
      <c r="B153" s="48"/>
      <c r="C153" s="49"/>
      <c r="D153" s="7" t="s">
        <v>180</v>
      </c>
    </row>
    <row r="154" spans="1:4">
      <c r="A154" s="19"/>
      <c r="B154" s="48"/>
      <c r="C154" s="49"/>
      <c r="D154" s="7" t="s">
        <v>181</v>
      </c>
    </row>
    <row r="155" spans="1:4">
      <c r="A155" s="19"/>
      <c r="B155" s="48"/>
      <c r="C155" s="49"/>
      <c r="D155" s="7" t="s">
        <v>182</v>
      </c>
    </row>
    <row r="156" spans="1:4">
      <c r="A156" s="19"/>
      <c r="B156" s="48"/>
      <c r="C156" s="49"/>
      <c r="D156" s="7" t="s">
        <v>58</v>
      </c>
    </row>
    <row r="157" spans="1:4">
      <c r="A157" s="20"/>
      <c r="B157" s="48">
        <v>4</v>
      </c>
      <c r="C157" s="48">
        <v>4.0999999999999996</v>
      </c>
      <c r="D157" s="7" t="s">
        <v>183</v>
      </c>
    </row>
    <row r="158" spans="1:4">
      <c r="A158" s="19"/>
      <c r="B158" s="48"/>
      <c r="C158" s="48"/>
      <c r="D158" s="7" t="s">
        <v>184</v>
      </c>
    </row>
    <row r="159" spans="1:4">
      <c r="A159" s="19"/>
      <c r="B159" s="48"/>
      <c r="C159" s="48"/>
      <c r="D159" s="7" t="s">
        <v>185</v>
      </c>
    </row>
    <row r="160" spans="1:4">
      <c r="A160" s="19"/>
      <c r="B160" s="48"/>
      <c r="C160" s="48"/>
      <c r="D160" s="7" t="s">
        <v>186</v>
      </c>
    </row>
    <row r="161" spans="1:4">
      <c r="A161" s="19"/>
      <c r="B161" s="48"/>
      <c r="C161" s="48">
        <v>4.2</v>
      </c>
      <c r="D161" s="7" t="s">
        <v>187</v>
      </c>
    </row>
    <row r="162" spans="1:4">
      <c r="A162" s="19"/>
      <c r="B162" s="48"/>
      <c r="C162" s="48"/>
      <c r="D162" s="7" t="s">
        <v>188</v>
      </c>
    </row>
    <row r="163" spans="1:4">
      <c r="A163" s="19"/>
      <c r="B163" s="48"/>
      <c r="C163" s="48"/>
      <c r="D163" s="7" t="s">
        <v>189</v>
      </c>
    </row>
    <row r="164" spans="1:4">
      <c r="A164" s="19"/>
      <c r="B164" s="48"/>
      <c r="C164" s="48"/>
      <c r="D164" s="7" t="s">
        <v>44</v>
      </c>
    </row>
    <row r="165" spans="1:4">
      <c r="A165" s="19"/>
      <c r="B165" s="48"/>
      <c r="C165" s="48"/>
      <c r="D165" s="7" t="s">
        <v>190</v>
      </c>
    </row>
    <row r="166" spans="1:4">
      <c r="A166" s="19"/>
      <c r="B166" s="48"/>
      <c r="C166" s="48"/>
      <c r="D166" s="7" t="s">
        <v>191</v>
      </c>
    </row>
    <row r="167" spans="1:4">
      <c r="A167" s="19"/>
      <c r="B167" s="48"/>
      <c r="C167" s="48"/>
      <c r="D167" s="7" t="s">
        <v>45</v>
      </c>
    </row>
    <row r="168" spans="1:4">
      <c r="A168" s="19"/>
      <c r="B168" s="48"/>
      <c r="C168" s="48">
        <v>4.3</v>
      </c>
      <c r="D168" s="7" t="s">
        <v>46</v>
      </c>
    </row>
    <row r="169" spans="1:4">
      <c r="A169" s="19"/>
      <c r="B169" s="48"/>
      <c r="C169" s="48"/>
      <c r="D169" s="7" t="s">
        <v>47</v>
      </c>
    </row>
    <row r="170" spans="1:4">
      <c r="A170" s="19"/>
      <c r="B170" s="48"/>
      <c r="C170" s="48"/>
      <c r="D170" s="7" t="s">
        <v>192</v>
      </c>
    </row>
    <row r="171" spans="1:4">
      <c r="A171" s="19"/>
      <c r="B171" s="48"/>
      <c r="C171" s="48"/>
      <c r="D171" s="7" t="s">
        <v>193</v>
      </c>
    </row>
    <row r="172" spans="1:4">
      <c r="A172" s="19"/>
      <c r="B172" s="48"/>
      <c r="C172" s="48"/>
      <c r="D172" s="7" t="s">
        <v>194</v>
      </c>
    </row>
    <row r="173" spans="1:4">
      <c r="A173" s="19"/>
      <c r="B173" s="48"/>
      <c r="C173" s="48"/>
      <c r="D173" s="7" t="s">
        <v>48</v>
      </c>
    </row>
    <row r="174" spans="1:4">
      <c r="A174" s="19"/>
      <c r="B174" s="48"/>
      <c r="C174" s="48">
        <v>4.4000000000000004</v>
      </c>
      <c r="D174" s="7" t="s">
        <v>195</v>
      </c>
    </row>
    <row r="175" spans="1:4">
      <c r="A175" s="19"/>
      <c r="B175" s="48"/>
      <c r="C175" s="48"/>
      <c r="D175" s="7" t="s">
        <v>196</v>
      </c>
    </row>
    <row r="176" spans="1:4">
      <c r="A176" s="19"/>
      <c r="B176" s="48"/>
      <c r="C176" s="48"/>
      <c r="D176" s="7" t="s">
        <v>197</v>
      </c>
    </row>
    <row r="177" spans="1:4">
      <c r="A177" s="19"/>
      <c r="B177" s="48"/>
      <c r="C177" s="48"/>
      <c r="D177" s="7" t="s">
        <v>198</v>
      </c>
    </row>
    <row r="178" spans="1:4">
      <c r="A178" s="19"/>
      <c r="B178" s="48"/>
      <c r="C178" s="48"/>
      <c r="D178" s="7" t="s">
        <v>199</v>
      </c>
    </row>
    <row r="179" spans="1:4">
      <c r="A179" s="19"/>
      <c r="B179" s="48"/>
      <c r="C179" s="48"/>
      <c r="D179" s="7" t="s">
        <v>200</v>
      </c>
    </row>
    <row r="180" spans="1:4">
      <c r="A180" s="19"/>
      <c r="B180" s="48"/>
      <c r="C180" s="48"/>
      <c r="D180" s="7" t="s">
        <v>201</v>
      </c>
    </row>
    <row r="181" spans="1:4">
      <c r="A181" s="19"/>
      <c r="B181" s="48"/>
      <c r="C181" s="48"/>
      <c r="D181" s="7" t="s">
        <v>59</v>
      </c>
    </row>
  </sheetData>
  <autoFilter ref="A2:J181" xr:uid="{F0DC7BB0-6771-4160-B371-AE490E8879B7}"/>
  <mergeCells count="51">
    <mergeCell ref="F50:F58"/>
    <mergeCell ref="F26:F28"/>
    <mergeCell ref="F29:F30"/>
    <mergeCell ref="F31:F37"/>
    <mergeCell ref="F38:F45"/>
    <mergeCell ref="F46:F49"/>
    <mergeCell ref="E50:E58"/>
    <mergeCell ref="E26:E28"/>
    <mergeCell ref="A3:A58"/>
    <mergeCell ref="C26:C28"/>
    <mergeCell ref="B26:B58"/>
    <mergeCell ref="C46:C49"/>
    <mergeCell ref="E29:E30"/>
    <mergeCell ref="E31:E37"/>
    <mergeCell ref="C18:C25"/>
    <mergeCell ref="G31:G37"/>
    <mergeCell ref="E38:E45"/>
    <mergeCell ref="E46:E49"/>
    <mergeCell ref="E18:E25"/>
    <mergeCell ref="F12:F14"/>
    <mergeCell ref="F15:F17"/>
    <mergeCell ref="F18:F25"/>
    <mergeCell ref="A1:J1"/>
    <mergeCell ref="E3:E11"/>
    <mergeCell ref="E12:E14"/>
    <mergeCell ref="F3:F11"/>
    <mergeCell ref="E15:E17"/>
    <mergeCell ref="C3:C11"/>
    <mergeCell ref="C12:C14"/>
    <mergeCell ref="C15:C17"/>
    <mergeCell ref="C110:C115"/>
    <mergeCell ref="C29:C30"/>
    <mergeCell ref="C31:C37"/>
    <mergeCell ref="C38:C45"/>
    <mergeCell ref="C50:C58"/>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FAF48-8618-45CD-B1C5-CEC08E5846C2}">
  <dimension ref="A1:L29"/>
  <sheetViews>
    <sheetView tabSelected="1" zoomScale="101" workbookViewId="0">
      <selection activeCell="H2" sqref="H2"/>
    </sheetView>
  </sheetViews>
  <sheetFormatPr defaultRowHeight="14.4"/>
  <cols>
    <col min="1" max="1" width="8.88671875" style="15" customWidth="1"/>
    <col min="2" max="2" width="11.88671875" style="15" bestFit="1" customWidth="1"/>
    <col min="3" max="3" width="9.88671875" style="15" bestFit="1" customWidth="1"/>
    <col min="4" max="4" width="75" bestFit="1" customWidth="1"/>
    <col min="5" max="5" width="11.5546875" bestFit="1" customWidth="1"/>
    <col min="6" max="6" width="11.109375" bestFit="1" customWidth="1"/>
    <col min="7" max="7" width="11.21875" bestFit="1" customWidth="1"/>
  </cols>
  <sheetData>
    <row r="1" spans="1:12">
      <c r="A1" s="46" t="s">
        <v>49</v>
      </c>
      <c r="B1" s="46"/>
      <c r="C1" s="46"/>
      <c r="D1" s="46"/>
      <c r="E1" s="46"/>
      <c r="F1" s="46"/>
      <c r="G1" s="46"/>
      <c r="H1" s="46"/>
      <c r="I1" s="46"/>
      <c r="J1" s="46"/>
    </row>
    <row r="2" spans="1:12" s="4" customFormat="1">
      <c r="A2" s="32" t="s">
        <v>5</v>
      </c>
      <c r="B2" s="32" t="s">
        <v>28</v>
      </c>
      <c r="C2" s="32" t="s">
        <v>0</v>
      </c>
      <c r="D2" s="10" t="s">
        <v>13</v>
      </c>
      <c r="E2" s="10" t="s">
        <v>54</v>
      </c>
      <c r="F2" s="10" t="s">
        <v>7</v>
      </c>
      <c r="G2" s="10" t="s">
        <v>4</v>
      </c>
      <c r="H2" s="10" t="s">
        <v>29</v>
      </c>
      <c r="I2" s="10" t="s">
        <v>3</v>
      </c>
      <c r="J2" s="10" t="s">
        <v>2</v>
      </c>
      <c r="K2" s="39" t="s">
        <v>256</v>
      </c>
      <c r="L2" s="40"/>
    </row>
    <row r="3" spans="1:12" ht="129.6">
      <c r="A3" s="44">
        <v>1</v>
      </c>
      <c r="B3" s="44">
        <v>1</v>
      </c>
      <c r="C3" s="15">
        <v>1.1000000000000001</v>
      </c>
      <c r="D3" s="2" t="s">
        <v>257</v>
      </c>
      <c r="E3" t="s">
        <v>20</v>
      </c>
      <c r="F3" cm="1">
        <f t="array" ref="F3">_xlfn.SWITCH(E3,"XS",1,"S",2,"M",3,"L",5,"XL",8,"XXL",13,"XXXL",21,"")</f>
        <v>5</v>
      </c>
      <c r="G3" t="s">
        <v>250</v>
      </c>
      <c r="H3" t="s">
        <v>267</v>
      </c>
    </row>
    <row r="4" spans="1:12" ht="57.6">
      <c r="A4" s="44"/>
      <c r="B4" s="44"/>
      <c r="C4" s="15">
        <v>1.2</v>
      </c>
      <c r="D4" s="2" t="s">
        <v>258</v>
      </c>
      <c r="E4" t="s">
        <v>19</v>
      </c>
      <c r="F4" cm="1">
        <f t="array" ref="F4">_xlfn.SWITCH(E4,"XS",1,"S",2,"M",3,"L",5,"XL",8,"XXL",13,"XXXL",21,"")</f>
        <v>3</v>
      </c>
      <c r="G4" t="s">
        <v>250</v>
      </c>
      <c r="H4" t="s">
        <v>268</v>
      </c>
    </row>
    <row r="5" spans="1:12" ht="43.2">
      <c r="A5" s="44"/>
      <c r="B5" s="44"/>
      <c r="C5" s="15">
        <v>1.3</v>
      </c>
      <c r="D5" s="2" t="s">
        <v>232</v>
      </c>
      <c r="E5" t="s">
        <v>17</v>
      </c>
      <c r="F5" cm="1">
        <f t="array" ref="F5">_xlfn.SWITCH(E5,"XS",1,"S",2,"M",3,"L",5,"XL",8,"XXL",13,"XXXL",21,"")</f>
        <v>1</v>
      </c>
      <c r="G5" t="s">
        <v>251</v>
      </c>
      <c r="H5" t="s">
        <v>266</v>
      </c>
    </row>
    <row r="6" spans="1:12" ht="115.2">
      <c r="A6" s="44"/>
      <c r="B6" s="44"/>
      <c r="C6" s="36">
        <v>1.4</v>
      </c>
      <c r="D6" s="37" t="s">
        <v>233</v>
      </c>
      <c r="E6" s="38" t="s">
        <v>20</v>
      </c>
      <c r="F6" s="38" cm="1">
        <f t="array" ref="F6">_xlfn.SWITCH(E6,"XS",1,"S",2,"M",3,"L",5,"XL",8,"XXL",13,"XXXL",21,"")</f>
        <v>5</v>
      </c>
      <c r="G6" s="38" t="s">
        <v>253</v>
      </c>
      <c r="H6" s="38" t="s">
        <v>268</v>
      </c>
      <c r="I6" s="38"/>
      <c r="J6" s="38"/>
    </row>
    <row r="7" spans="1:12" ht="72">
      <c r="A7" s="44"/>
      <c r="B7" s="44">
        <v>2</v>
      </c>
      <c r="C7" s="15">
        <v>2.1</v>
      </c>
      <c r="D7" s="2" t="s">
        <v>259</v>
      </c>
      <c r="E7" t="s">
        <v>18</v>
      </c>
      <c r="F7" cm="1">
        <f t="array" ref="F7">_xlfn.SWITCH(E7,"XS",1,"S",2,"M",3,"L",5,"XL",8,"XXL",13,"XXXL",21,"")</f>
        <v>2</v>
      </c>
      <c r="G7" t="s">
        <v>252</v>
      </c>
      <c r="H7" t="s">
        <v>268</v>
      </c>
    </row>
    <row r="8" spans="1:12" ht="57.6">
      <c r="A8" s="44"/>
      <c r="B8" s="44"/>
      <c r="C8" s="15">
        <v>2.2000000000000002</v>
      </c>
      <c r="D8" s="2" t="s">
        <v>260</v>
      </c>
      <c r="E8" t="s">
        <v>17</v>
      </c>
      <c r="F8" cm="1">
        <f t="array" ref="F8">_xlfn.SWITCH(E8,"XS",1,"S",2,"M",3,"L",5,"XL",8,"XXL",13,"XXXL",21,"")</f>
        <v>1</v>
      </c>
      <c r="G8" t="s">
        <v>252</v>
      </c>
      <c r="H8" t="s">
        <v>268</v>
      </c>
    </row>
    <row r="9" spans="1:12" ht="100.8">
      <c r="A9" s="44"/>
      <c r="B9" s="44"/>
      <c r="C9" s="15">
        <v>2.2999999999999998</v>
      </c>
      <c r="D9" s="2" t="s">
        <v>261</v>
      </c>
      <c r="E9" t="s">
        <v>21</v>
      </c>
      <c r="F9" cm="1">
        <f t="array" ref="F9">_xlfn.SWITCH(E9,"XS",1,"S",2,"M",3,"L",5,"XL",8,"XXL",13,"XXXL",21,"")</f>
        <v>8</v>
      </c>
      <c r="G9" t="s">
        <v>214</v>
      </c>
      <c r="H9" t="s">
        <v>268</v>
      </c>
    </row>
    <row r="10" spans="1:12" ht="115.2">
      <c r="A10" s="44"/>
      <c r="B10" s="44"/>
      <c r="C10" s="15">
        <v>2.4</v>
      </c>
      <c r="D10" s="2" t="s">
        <v>262</v>
      </c>
      <c r="E10" t="s">
        <v>20</v>
      </c>
      <c r="F10" cm="1">
        <f t="array" ref="F10">_xlfn.SWITCH(E10,"XS",1,"S",2,"M",3,"L",5,"XL",8,"XXL",13,"XXXL",21,"")</f>
        <v>5</v>
      </c>
      <c r="G10" t="s">
        <v>254</v>
      </c>
      <c r="H10" t="s">
        <v>268</v>
      </c>
    </row>
    <row r="11" spans="1:12" ht="100.8">
      <c r="A11" s="44"/>
      <c r="B11" s="44"/>
      <c r="C11" s="15">
        <v>2.5</v>
      </c>
      <c r="D11" s="2" t="s">
        <v>263</v>
      </c>
      <c r="E11" t="s">
        <v>18</v>
      </c>
      <c r="F11" cm="1">
        <f t="array" ref="F11">_xlfn.SWITCH(E11,"XS",1,"S",2,"M",3,"L",5,"XL",8,"XXL",13,"XXXL",21,"")</f>
        <v>2</v>
      </c>
      <c r="G11" t="s">
        <v>252</v>
      </c>
      <c r="H11" t="s">
        <v>268</v>
      </c>
    </row>
    <row r="12" spans="1:12" ht="115.2">
      <c r="A12" s="44"/>
      <c r="B12" s="44"/>
      <c r="C12" s="15">
        <v>2.6</v>
      </c>
      <c r="D12" s="2" t="s">
        <v>264</v>
      </c>
      <c r="E12" t="s">
        <v>19</v>
      </c>
      <c r="F12" cm="1">
        <f t="array" ref="F12">_xlfn.SWITCH(E12,"XS",1,"S",2,"M",3,"L",5,"XL",8,"XXL",13,"XXXL",21,"")</f>
        <v>3</v>
      </c>
      <c r="G12" t="s">
        <v>255</v>
      </c>
      <c r="H12" t="s">
        <v>268</v>
      </c>
    </row>
    <row r="13" spans="1:12" ht="158.4">
      <c r="A13" s="44"/>
      <c r="B13" s="44"/>
      <c r="C13" s="36">
        <v>2.7</v>
      </c>
      <c r="D13" s="37" t="s">
        <v>234</v>
      </c>
      <c r="E13" s="38" t="s">
        <v>20</v>
      </c>
      <c r="F13" s="38" cm="1">
        <f t="array" ref="F13">_xlfn.SWITCH(E13,"XS",1,"S",2,"M",3,"L",5,"XL",8,"XXL",13,"XXXL",21,"")</f>
        <v>5</v>
      </c>
      <c r="G13" s="38" t="s">
        <v>253</v>
      </c>
      <c r="H13" s="38" t="s">
        <v>268</v>
      </c>
      <c r="I13" s="38"/>
      <c r="J13" s="38"/>
    </row>
    <row r="14" spans="1:12" ht="144">
      <c r="C14" s="41">
        <v>2.8</v>
      </c>
      <c r="D14" s="42" t="s">
        <v>265</v>
      </c>
      <c r="E14" s="43" t="s">
        <v>20</v>
      </c>
      <c r="F14" s="43" cm="1">
        <f t="array" ref="F14">_xlfn.SWITCH(E14,"XS",1,"S",2,"M",3,"L",5,"XL",8,"XXL",13,"XXXL",21,"")</f>
        <v>5</v>
      </c>
      <c r="G14" s="43" t="s">
        <v>253</v>
      </c>
      <c r="H14" s="43" t="s">
        <v>268</v>
      </c>
      <c r="I14" s="43"/>
      <c r="J14" s="43"/>
    </row>
    <row r="15" spans="1:12">
      <c r="A15" s="33"/>
      <c r="B15" s="34"/>
      <c r="C15" s="34"/>
      <c r="D15" s="30" t="s">
        <v>235</v>
      </c>
      <c r="E15" s="29"/>
      <c r="F15" s="29">
        <f>SUM(F3:F14)</f>
        <v>45</v>
      </c>
      <c r="G15" s="29"/>
      <c r="H15" s="29"/>
      <c r="I15" s="29"/>
      <c r="J15" s="31"/>
    </row>
    <row r="16" spans="1:12" ht="86.4">
      <c r="A16" s="45">
        <v>2</v>
      </c>
      <c r="B16" s="45">
        <v>3</v>
      </c>
      <c r="C16" s="15">
        <v>3.1</v>
      </c>
      <c r="D16" s="2" t="s">
        <v>236</v>
      </c>
    </row>
    <row r="17" spans="1:4" ht="172.8">
      <c r="A17" s="44"/>
      <c r="B17" s="44"/>
      <c r="C17" s="15">
        <v>3.2</v>
      </c>
      <c r="D17" s="2" t="s">
        <v>237</v>
      </c>
    </row>
    <row r="18" spans="1:4" ht="158.4">
      <c r="A18" s="44"/>
      <c r="B18" s="44"/>
      <c r="C18" s="15">
        <v>3.3</v>
      </c>
      <c r="D18" s="2" t="s">
        <v>238</v>
      </c>
    </row>
    <row r="19" spans="1:4" ht="187.2">
      <c r="A19" s="44"/>
      <c r="B19" s="44"/>
      <c r="C19" s="15">
        <v>3.4</v>
      </c>
      <c r="D19" s="2" t="s">
        <v>239</v>
      </c>
    </row>
    <row r="20" spans="1:4" ht="129.6">
      <c r="A20" s="44"/>
      <c r="B20" s="44"/>
      <c r="C20" s="15">
        <v>3.5</v>
      </c>
      <c r="D20" s="2" t="s">
        <v>240</v>
      </c>
    </row>
    <row r="21" spans="1:4" ht="86.4">
      <c r="A21" s="44"/>
      <c r="B21" s="44"/>
      <c r="C21" s="15">
        <v>3.6</v>
      </c>
      <c r="D21" s="2" t="s">
        <v>241</v>
      </c>
    </row>
    <row r="22" spans="1:4" ht="158.4">
      <c r="A22" s="44"/>
      <c r="B22" s="44"/>
      <c r="C22" s="15">
        <v>3.7</v>
      </c>
      <c r="D22" s="2" t="s">
        <v>242</v>
      </c>
    </row>
    <row r="23" spans="1:4" ht="144">
      <c r="A23" s="44"/>
      <c r="B23" s="44"/>
      <c r="C23" s="15">
        <v>3.8</v>
      </c>
      <c r="D23" s="2" t="s">
        <v>243</v>
      </c>
    </row>
    <row r="24" spans="1:4" ht="72">
      <c r="A24" s="44"/>
      <c r="B24" s="44"/>
      <c r="C24" s="15">
        <v>3.9</v>
      </c>
      <c r="D24" s="2" t="s">
        <v>244</v>
      </c>
    </row>
    <row r="25" spans="1:4" ht="216">
      <c r="A25" s="44"/>
      <c r="B25" s="44"/>
      <c r="C25" s="35">
        <v>3.1</v>
      </c>
      <c r="D25" s="2" t="s">
        <v>245</v>
      </c>
    </row>
    <row r="26" spans="1:4" ht="57.6">
      <c r="A26" s="44"/>
      <c r="B26" s="44">
        <v>4</v>
      </c>
      <c r="C26" s="15">
        <v>4.0999999999999996</v>
      </c>
      <c r="D26" s="2" t="s">
        <v>246</v>
      </c>
    </row>
    <row r="27" spans="1:4" ht="100.8">
      <c r="A27" s="44"/>
      <c r="B27" s="44"/>
      <c r="C27" s="15">
        <v>4.2</v>
      </c>
      <c r="D27" s="2" t="s">
        <v>247</v>
      </c>
    </row>
    <row r="28" spans="1:4" ht="86.4">
      <c r="A28" s="44"/>
      <c r="B28" s="44"/>
      <c r="C28" s="15">
        <v>4.3</v>
      </c>
      <c r="D28" s="2" t="s">
        <v>248</v>
      </c>
    </row>
    <row r="29" spans="1:4" ht="115.2">
      <c r="A29" s="44"/>
      <c r="B29" s="44"/>
      <c r="C29" s="15">
        <v>4.4000000000000004</v>
      </c>
      <c r="D29" s="2" t="s">
        <v>249</v>
      </c>
    </row>
  </sheetData>
  <mergeCells count="7">
    <mergeCell ref="B26:B29"/>
    <mergeCell ref="A16:A29"/>
    <mergeCell ref="A1:J1"/>
    <mergeCell ref="A3:A13"/>
    <mergeCell ref="B3:B6"/>
    <mergeCell ref="B7:B13"/>
    <mergeCell ref="B16:B25"/>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087AEC-DE6A-4BD3-B656-5E86DF79D39A}">
  <dimension ref="A1:E11"/>
  <sheetViews>
    <sheetView workbookViewId="0">
      <selection activeCell="E2" sqref="E2"/>
    </sheetView>
  </sheetViews>
  <sheetFormatPr defaultRowHeight="14.4"/>
  <cols>
    <col min="1" max="1" width="4.88671875" style="21" bestFit="1" customWidth="1"/>
    <col min="2" max="2" width="10.33203125" bestFit="1" customWidth="1"/>
    <col min="3" max="3" width="10.77734375" style="3" customWidth="1"/>
    <col min="5" max="5" width="10.77734375" style="3" customWidth="1"/>
  </cols>
  <sheetData>
    <row r="1" spans="1:5" ht="57.6">
      <c r="A1" s="22" t="s">
        <v>216</v>
      </c>
      <c r="B1" s="23" t="s">
        <v>217</v>
      </c>
      <c r="C1" s="24" t="s">
        <v>218</v>
      </c>
      <c r="D1" s="24" t="s">
        <v>219</v>
      </c>
      <c r="E1" s="24" t="s">
        <v>220</v>
      </c>
    </row>
    <row r="2" spans="1:5">
      <c r="A2" s="25" t="s">
        <v>229</v>
      </c>
      <c r="B2" s="26">
        <v>46265</v>
      </c>
      <c r="C2" s="27">
        <f>('Updated Sprint'!F15)-SUM(E$2:E2)</f>
        <v>44</v>
      </c>
      <c r="D2" s="12">
        <f>('Updated Sprint'!F15)*(1-(A2-1)/8)</f>
        <v>45</v>
      </c>
      <c r="E2" s="28">
        <v>1</v>
      </c>
    </row>
    <row r="3" spans="1:5">
      <c r="A3" s="25" t="s">
        <v>221</v>
      </c>
      <c r="B3" s="26">
        <v>46266</v>
      </c>
      <c r="C3" s="27">
        <f>('Updated Sprint'!F15)-SUM(E$2:E3)</f>
        <v>44</v>
      </c>
      <c r="D3" s="12">
        <f>('Updated Sprint'!F15)*(1-(A3-1)/8)</f>
        <v>39.375</v>
      </c>
      <c r="E3" s="28">
        <v>0</v>
      </c>
    </row>
    <row r="4" spans="1:5">
      <c r="A4" s="25" t="s">
        <v>222</v>
      </c>
      <c r="B4" s="26">
        <v>46267</v>
      </c>
      <c r="C4" s="27">
        <f>('Updated Sprint'!F15)-SUM(E$2:E4)</f>
        <v>44</v>
      </c>
      <c r="D4" s="12">
        <f>('Updated Sprint'!F15)*(1-(A4-1)/8)</f>
        <v>33.75</v>
      </c>
      <c r="E4" s="28">
        <v>0</v>
      </c>
    </row>
    <row r="5" spans="1:5">
      <c r="A5" s="25" t="s">
        <v>223</v>
      </c>
      <c r="B5" s="26">
        <v>46268</v>
      </c>
      <c r="C5" s="27">
        <f>('Updated Sprint'!F15)-SUM(E$2:E5)</f>
        <v>44</v>
      </c>
      <c r="D5" s="12">
        <f>('Updated Sprint'!F15)*(1-(A5-1)/8)</f>
        <v>28.125</v>
      </c>
      <c r="E5" s="28">
        <v>0</v>
      </c>
    </row>
    <row r="6" spans="1:5">
      <c r="A6" s="25" t="s">
        <v>224</v>
      </c>
      <c r="B6" s="26">
        <v>46269</v>
      </c>
      <c r="C6" s="27">
        <f>('Updated Sprint'!F15)-SUM(E$2:E6)</f>
        <v>44</v>
      </c>
      <c r="D6" s="12">
        <f>('Updated Sprint'!F15)*(1-(A6-1)/8)</f>
        <v>22.5</v>
      </c>
      <c r="E6" s="28">
        <v>0</v>
      </c>
    </row>
    <row r="7" spans="1:5">
      <c r="A7" s="25" t="s">
        <v>225</v>
      </c>
      <c r="B7" s="26">
        <v>46272</v>
      </c>
      <c r="C7" s="27">
        <f>('Updated Sprint'!F15)-SUM(E$2:E7)</f>
        <v>44</v>
      </c>
      <c r="D7" s="12">
        <f>('Updated Sprint'!F15)*(1-(A7-1)/8)</f>
        <v>16.875</v>
      </c>
      <c r="E7" s="28">
        <v>0</v>
      </c>
    </row>
    <row r="8" spans="1:5">
      <c r="A8" s="25" t="s">
        <v>226</v>
      </c>
      <c r="B8" s="26">
        <v>46273</v>
      </c>
      <c r="C8" s="27">
        <f>('Updated Sprint'!F15)-SUM(E$2:E8)</f>
        <v>44</v>
      </c>
      <c r="D8" s="12">
        <f>('Updated Sprint'!F15)*(1-(A8-1)/8)</f>
        <v>11.25</v>
      </c>
      <c r="E8" s="28">
        <v>0</v>
      </c>
    </row>
    <row r="9" spans="1:5">
      <c r="A9" s="25" t="s">
        <v>227</v>
      </c>
      <c r="B9" s="26">
        <v>46274</v>
      </c>
      <c r="C9" s="27">
        <f>('Updated Sprint'!F15)-SUM(E$2:E9)</f>
        <v>44</v>
      </c>
      <c r="D9" s="12">
        <f>('Updated Sprint'!F15)*(1-(A9-1)/8)</f>
        <v>5.625</v>
      </c>
      <c r="E9" s="28">
        <v>0</v>
      </c>
    </row>
    <row r="10" spans="1:5">
      <c r="A10" s="25" t="s">
        <v>228</v>
      </c>
      <c r="B10" s="26">
        <v>46275</v>
      </c>
      <c r="C10" s="27">
        <f>('Updated Sprint'!F15)-SUM(E$2:E10)</f>
        <v>44</v>
      </c>
      <c r="D10" s="12">
        <f>('Updated Sprint'!F15)*(1-(A10-1)/8)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1110B-B1A6-47E4-BCEC-C2B4CA62D5BE}">
  <dimension ref="A1:G3"/>
  <sheetViews>
    <sheetView workbookViewId="0">
      <selection activeCell="H14" sqref="H14"/>
    </sheetView>
  </sheetViews>
  <sheetFormatPr defaultRowHeight="14.4"/>
  <sheetData>
    <row r="1" spans="1:7">
      <c r="A1" s="55" t="s">
        <v>24</v>
      </c>
      <c r="B1" s="55"/>
      <c r="C1" s="55"/>
      <c r="D1" s="55"/>
      <c r="E1" s="55"/>
      <c r="F1" s="55"/>
      <c r="G1" s="55"/>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2026-08-31T17:38:41Z</dcterms:modified>
</cp:coreProperties>
</file>